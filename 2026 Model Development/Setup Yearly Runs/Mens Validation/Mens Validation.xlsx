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5"/>
    <sheet state="visible" name="2025" sheetId="2" r:id="rId6"/>
    <sheet state="visible" name="2024" sheetId="3" r:id="rId7"/>
    <sheet state="visible" name="2023" sheetId="4" r:id="rId8"/>
    <sheet state="visible" name="2022" sheetId="5" r:id="rId9"/>
    <sheet state="visible" name="2021" sheetId="6" r:id="rId10"/>
    <sheet state="visible" name="2019" sheetId="7" r:id="rId11"/>
    <sheet state="visible" name="2018" sheetId="8" r:id="rId12"/>
    <sheet state="visible" name="2017" sheetId="9" r:id="rId13"/>
    <sheet state="visible" name="2016" sheetId="10" r:id="rId14"/>
    <sheet state="visible" name="2015" sheetId="11" r:id="rId15"/>
  </sheets>
  <definedNames/>
  <calcPr/>
</workbook>
</file>

<file path=xl/sharedStrings.xml><?xml version="1.0" encoding="utf-8"?>
<sst xmlns="http://schemas.openxmlformats.org/spreadsheetml/2006/main" count="2870" uniqueCount="252">
  <si>
    <t>Year</t>
  </si>
  <si>
    <t>Points</t>
  </si>
  <si>
    <t>Champion</t>
  </si>
  <si>
    <t>Championship</t>
  </si>
  <si>
    <t>Final Four</t>
  </si>
  <si>
    <t>Elite Eight</t>
  </si>
  <si>
    <t>Sweet 16</t>
  </si>
  <si>
    <t>Round 2</t>
  </si>
  <si>
    <t>Region</t>
  </si>
  <si>
    <t>Round</t>
  </si>
  <si>
    <t>High Seed</t>
  </si>
  <si>
    <t>High Team</t>
  </si>
  <si>
    <t>Low Seed</t>
  </si>
  <si>
    <t>Low Team</t>
  </si>
  <si>
    <t>Winner</t>
  </si>
  <si>
    <t>Pred. Winner</t>
  </si>
  <si>
    <t>Correct</t>
  </si>
  <si>
    <t>Top Left</t>
  </si>
  <si>
    <t>Round 1</t>
  </si>
  <si>
    <t>Auburn</t>
  </si>
  <si>
    <t>Alabama St</t>
  </si>
  <si>
    <t>Michigan St</t>
  </si>
  <si>
    <t>Bryant</t>
  </si>
  <si>
    <t>Iowa State</t>
  </si>
  <si>
    <t>Lipscomb</t>
  </si>
  <si>
    <t>Texas A&amp;M</t>
  </si>
  <si>
    <t>Yale</t>
  </si>
  <si>
    <t>Michigan</t>
  </si>
  <si>
    <t>UC San Diego</t>
  </si>
  <si>
    <t>Ole Miss</t>
  </si>
  <si>
    <t>North Carolina</t>
  </si>
  <si>
    <t>Marquette</t>
  </si>
  <si>
    <t>New Mexico</t>
  </si>
  <si>
    <t>Louisville</t>
  </si>
  <si>
    <t>Creighton</t>
  </si>
  <si>
    <t>Bottom Left</t>
  </si>
  <si>
    <t>Florida</t>
  </si>
  <si>
    <t>Norfolk St</t>
  </si>
  <si>
    <t>St John's</t>
  </si>
  <si>
    <t>Omaha</t>
  </si>
  <si>
    <t>Texas Tech</t>
  </si>
  <si>
    <t>UNC Wilmington</t>
  </si>
  <si>
    <t>Maryland</t>
  </si>
  <si>
    <t>Grand Canyon</t>
  </si>
  <si>
    <t>Memphis</t>
  </si>
  <si>
    <t>Colorado St</t>
  </si>
  <si>
    <t>Missouri</t>
  </si>
  <si>
    <t>Drake</t>
  </si>
  <si>
    <t>Kansas</t>
  </si>
  <si>
    <t>Arkansas</t>
  </si>
  <si>
    <t>UConn</t>
  </si>
  <si>
    <t>Oklahoma</t>
  </si>
  <si>
    <t>Top Right</t>
  </si>
  <si>
    <t>Duke</t>
  </si>
  <si>
    <t>Mount St Marys</t>
  </si>
  <si>
    <t>Alabama</t>
  </si>
  <si>
    <t>Robert Morris</t>
  </si>
  <si>
    <t>Wisconsin</t>
  </si>
  <si>
    <t>Montana</t>
  </si>
  <si>
    <t>Arizona</t>
  </si>
  <si>
    <t>Akron</t>
  </si>
  <si>
    <t>Oregon</t>
  </si>
  <si>
    <t>Liberty</t>
  </si>
  <si>
    <t>BYU</t>
  </si>
  <si>
    <t>VCU</t>
  </si>
  <si>
    <t>Saint Mary's</t>
  </si>
  <si>
    <t>Vanderbilt</t>
  </si>
  <si>
    <t>Mississippi St</t>
  </si>
  <si>
    <t>Baylor</t>
  </si>
  <si>
    <t>Bottom Right</t>
  </si>
  <si>
    <t>Houston</t>
  </si>
  <si>
    <t>SIUE</t>
  </si>
  <si>
    <t>Tennessee</t>
  </si>
  <si>
    <t>Wofford</t>
  </si>
  <si>
    <t>Kentucky</t>
  </si>
  <si>
    <t>Troy</t>
  </si>
  <si>
    <t>Purdue</t>
  </si>
  <si>
    <t>High Point</t>
  </si>
  <si>
    <t>Clemson</t>
  </si>
  <si>
    <t>McNeese</t>
  </si>
  <si>
    <t>Illinois</t>
  </si>
  <si>
    <t>Xavier</t>
  </si>
  <si>
    <t>UCLA</t>
  </si>
  <si>
    <t>Utah State</t>
  </si>
  <si>
    <t>Gonzaga</t>
  </si>
  <si>
    <t>Georgia</t>
  </si>
  <si>
    <t>Michigan St.</t>
  </si>
  <si>
    <t>Mississippi</t>
  </si>
  <si>
    <t>Connecticut</t>
  </si>
  <si>
    <t>Stetson</t>
  </si>
  <si>
    <t>S Dakota St</t>
  </si>
  <si>
    <t>Morehead St</t>
  </si>
  <si>
    <t>San Diego St</t>
  </si>
  <si>
    <t>UAB</t>
  </si>
  <si>
    <t>Duquesne</t>
  </si>
  <si>
    <t>Washington St</t>
  </si>
  <si>
    <t>FAU</t>
  </si>
  <si>
    <t>Northwestern</t>
  </si>
  <si>
    <t>Wagner</t>
  </si>
  <si>
    <t>Long Beach St</t>
  </si>
  <si>
    <t>Colgate</t>
  </si>
  <si>
    <t>Charleston</t>
  </si>
  <si>
    <t>Dayton</t>
  </si>
  <si>
    <t>Nevada</t>
  </si>
  <si>
    <t>Longwood</t>
  </si>
  <si>
    <t>Western KY</t>
  </si>
  <si>
    <t>Oakland</t>
  </si>
  <si>
    <t>Vermont</t>
  </si>
  <si>
    <t>James Madison</t>
  </si>
  <si>
    <t>NC State</t>
  </si>
  <si>
    <t>Colorado</t>
  </si>
  <si>
    <t>Nebraska</t>
  </si>
  <si>
    <t>Grambling</t>
  </si>
  <si>
    <t>Saint Peter's</t>
  </si>
  <si>
    <t>Samford</t>
  </si>
  <si>
    <t>South Carolina</t>
  </si>
  <si>
    <t>Texas</t>
  </si>
  <si>
    <t>TCU</t>
  </si>
  <si>
    <t>Iowa St.</t>
  </si>
  <si>
    <t>Washington St.</t>
  </si>
  <si>
    <t>North Carolina St.</t>
  </si>
  <si>
    <t>Utah St.</t>
  </si>
  <si>
    <t>Texas A&amp;M-CC</t>
  </si>
  <si>
    <t>Princeton</t>
  </si>
  <si>
    <t>Santa Barbara</t>
  </si>
  <si>
    <t>Virginia</t>
  </si>
  <si>
    <t>Furman</t>
  </si>
  <si>
    <t>West Virginia</t>
  </si>
  <si>
    <t>Fairleigh Dickinson</t>
  </si>
  <si>
    <t>Kansas St.</t>
  </si>
  <si>
    <t>Montana St.</t>
  </si>
  <si>
    <t>Louisiana</t>
  </si>
  <si>
    <t>Oral Roberts</t>
  </si>
  <si>
    <t>Providence</t>
  </si>
  <si>
    <t>USC</t>
  </si>
  <si>
    <t>Florida Atlantic</t>
  </si>
  <si>
    <t>Northern Kentucky</t>
  </si>
  <si>
    <t>Kennesaw St.</t>
  </si>
  <si>
    <t>Indiana</t>
  </si>
  <si>
    <t>Kent St.</t>
  </si>
  <si>
    <t>Miami FL</t>
  </si>
  <si>
    <t>Pittsburgh</t>
  </si>
  <si>
    <t>Penn St.</t>
  </si>
  <si>
    <t>Iowa</t>
  </si>
  <si>
    <t>Howard</t>
  </si>
  <si>
    <t>UNC Asheville</t>
  </si>
  <si>
    <t>Iona</t>
  </si>
  <si>
    <t>Arizona St.</t>
  </si>
  <si>
    <t>Boise St.</t>
  </si>
  <si>
    <t>San Diego St.</t>
  </si>
  <si>
    <t>Georgia St.</t>
  </si>
  <si>
    <t>Fullerton</t>
  </si>
  <si>
    <t>New Mexico St.</t>
  </si>
  <si>
    <t>Notre Dame</t>
  </si>
  <si>
    <t>Davidson</t>
  </si>
  <si>
    <t>Norfolk St.</t>
  </si>
  <si>
    <t>Virginia Tech</t>
  </si>
  <si>
    <t>Murray St.</t>
  </si>
  <si>
    <t>San Francisco</t>
  </si>
  <si>
    <t>Wright St.</t>
  </si>
  <si>
    <t>Villanova</t>
  </si>
  <si>
    <t>Delaware</t>
  </si>
  <si>
    <t>Chattanooga</t>
  </si>
  <si>
    <t>Colorado St.</t>
  </si>
  <si>
    <t>Ohio St.</t>
  </si>
  <si>
    <t>Loyola Chicago</t>
  </si>
  <si>
    <t>Seton Hall</t>
  </si>
  <si>
    <t>Texas Southern</t>
  </si>
  <si>
    <t>Jacksonville St.</t>
  </si>
  <si>
    <t>South Dakota St.</t>
  </si>
  <si>
    <t>Richmond</t>
  </si>
  <si>
    <t>LSU</t>
  </si>
  <si>
    <t>Eastern Washington</t>
  </si>
  <si>
    <t>Ohio</t>
  </si>
  <si>
    <t>Abilene Christian</t>
  </si>
  <si>
    <t>Florida St.</t>
  </si>
  <si>
    <t>UNC Greensboro</t>
  </si>
  <si>
    <t>Georgetown</t>
  </si>
  <si>
    <t>St. Bonaventure</t>
  </si>
  <si>
    <t>Hartford</t>
  </si>
  <si>
    <t>North Texas</t>
  </si>
  <si>
    <t>Winthrop</t>
  </si>
  <si>
    <t>Drexel</t>
  </si>
  <si>
    <t>Cleveland St.</t>
  </si>
  <si>
    <t>Morehead St.</t>
  </si>
  <si>
    <t>Oklahoma St.</t>
  </si>
  <si>
    <t>Oregon St.</t>
  </si>
  <si>
    <t>Syracuse</t>
  </si>
  <si>
    <t>Rutgers</t>
  </si>
  <si>
    <t>Georgia Tech</t>
  </si>
  <si>
    <t>North Dakota St.</t>
  </si>
  <si>
    <t>Bradley</t>
  </si>
  <si>
    <t>Saint Louis</t>
  </si>
  <si>
    <t>Mississippi St.</t>
  </si>
  <si>
    <t>Belmont</t>
  </si>
  <si>
    <t>Minnesota</t>
  </si>
  <si>
    <t>UCF</t>
  </si>
  <si>
    <t>Buffalo</t>
  </si>
  <si>
    <t>Gardner Webb</t>
  </si>
  <si>
    <t>Old Dominion</t>
  </si>
  <si>
    <t>UC Irvine</t>
  </si>
  <si>
    <t>Cincinnati</t>
  </si>
  <si>
    <t>Northeastern</t>
  </si>
  <si>
    <t>Washington</t>
  </si>
  <si>
    <t>NC Central</t>
  </si>
  <si>
    <t>Jax State</t>
  </si>
  <si>
    <t>Kansas St</t>
  </si>
  <si>
    <t>Oklahoma St</t>
  </si>
  <si>
    <t>Miami</t>
  </si>
  <si>
    <t>N Dakota</t>
  </si>
  <si>
    <t>Florida St</t>
  </si>
  <si>
    <t>FGCU</t>
  </si>
  <si>
    <t>Bucknell</t>
  </si>
  <si>
    <t>New Mexico St</t>
  </si>
  <si>
    <t>ETSU</t>
  </si>
  <si>
    <t>SMU</t>
  </si>
  <si>
    <t>TX Southern</t>
  </si>
  <si>
    <t>N Kentucky</t>
  </si>
  <si>
    <t>Kent State</t>
  </si>
  <si>
    <t>Butler</t>
  </si>
  <si>
    <t>MTSU</t>
  </si>
  <si>
    <t>Rhode Island</t>
  </si>
  <si>
    <t>Wichita St</t>
  </si>
  <si>
    <t>Austin Peay</t>
  </si>
  <si>
    <t>California</t>
  </si>
  <si>
    <t>Hawai'i</t>
  </si>
  <si>
    <t>Temple</t>
  </si>
  <si>
    <t>Holy Cross</t>
  </si>
  <si>
    <t>Fresno St</t>
  </si>
  <si>
    <t>Oregon St</t>
  </si>
  <si>
    <t>Saint Joseph's</t>
  </si>
  <si>
    <t>Weber St</t>
  </si>
  <si>
    <t>SF Austin</t>
  </si>
  <si>
    <t>Stony Brook</t>
  </si>
  <si>
    <t>Hampton</t>
  </si>
  <si>
    <t>Cal St Bakersfield</t>
  </si>
  <si>
    <t>Green Bay</t>
  </si>
  <si>
    <t>Little Rock</t>
  </si>
  <si>
    <t>N Iowa</t>
  </si>
  <si>
    <t>N Florida</t>
  </si>
  <si>
    <t>N Dakota St</t>
  </si>
  <si>
    <t>E Washington</t>
  </si>
  <si>
    <t>Utah</t>
  </si>
  <si>
    <t>Coastal Carolina</t>
  </si>
  <si>
    <t>Georgia St</t>
  </si>
  <si>
    <t>Harvard</t>
  </si>
  <si>
    <t>Ohio State</t>
  </si>
  <si>
    <t>Lafayette</t>
  </si>
  <si>
    <t>Albany</t>
  </si>
  <si>
    <t>Wyoming</t>
  </si>
  <si>
    <t>Boise St</t>
  </si>
  <si>
    <t>Valparaiso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</si>
</sst>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5.63"/>
    <col customWidth="1" min="3" max="3" width="8.63"/>
    <col customWidth="1" min="4" max="4" width="11.75"/>
    <col customWidth="1" min="5" max="6" width="8.5"/>
    <col customWidth="1" min="7" max="7" width="8.0"/>
    <col customWidth="1" min="8" max="8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2025.0</v>
      </c>
      <c r="B2" s="2">
        <f t="shared" ref="B2:B12" si="1">(32*C2)+(16*D2)+(8*E2)+(4*F2)+(2*G2)+H2</f>
        <v>0</v>
      </c>
    </row>
    <row r="3">
      <c r="A3" s="1">
        <v>2024.0</v>
      </c>
      <c r="B3" s="2">
        <f t="shared" si="1"/>
        <v>0</v>
      </c>
    </row>
    <row r="4">
      <c r="A4" s="1">
        <v>2023.0</v>
      </c>
      <c r="B4" s="2">
        <f t="shared" si="1"/>
        <v>0</v>
      </c>
    </row>
    <row r="5">
      <c r="A5" s="1">
        <v>2022.0</v>
      </c>
      <c r="B5" s="2">
        <f t="shared" si="1"/>
        <v>0</v>
      </c>
    </row>
    <row r="6">
      <c r="A6" s="1">
        <v>2021.0</v>
      </c>
      <c r="B6" s="2">
        <f t="shared" si="1"/>
        <v>0</v>
      </c>
    </row>
    <row r="7">
      <c r="A7" s="1">
        <v>2020.0</v>
      </c>
      <c r="B7" s="2">
        <f t="shared" si="1"/>
        <v>0</v>
      </c>
    </row>
    <row r="8">
      <c r="A8" s="1">
        <v>2019.0</v>
      </c>
      <c r="B8" s="2">
        <f t="shared" si="1"/>
        <v>0</v>
      </c>
    </row>
    <row r="9">
      <c r="A9" s="1">
        <v>2018.0</v>
      </c>
      <c r="B9" s="2">
        <f t="shared" si="1"/>
        <v>0</v>
      </c>
    </row>
    <row r="10">
      <c r="A10" s="1">
        <v>2017.0</v>
      </c>
      <c r="B10" s="2">
        <f t="shared" si="1"/>
        <v>0</v>
      </c>
    </row>
    <row r="11">
      <c r="A11" s="1">
        <v>2016.0</v>
      </c>
      <c r="B11" s="2">
        <f t="shared" si="1"/>
        <v>0</v>
      </c>
    </row>
    <row r="12">
      <c r="A12" s="1">
        <v>2015.0</v>
      </c>
      <c r="B12" s="2">
        <f t="shared" si="1"/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11.75"/>
    <col customWidth="1" min="3" max="3" width="8.88"/>
    <col customWidth="1" min="4" max="4" width="11.13"/>
    <col customWidth="1" min="5" max="5" width="8.5"/>
    <col customWidth="1" min="6" max="6" width="13.38"/>
    <col customWidth="1" min="7" max="7" width="10.13"/>
    <col customWidth="1" min="8" max="8" width="10.75"/>
    <col customWidth="1" min="9" max="9" width="6.5"/>
    <col customWidth="1" min="11" max="11" width="11.75"/>
    <col customWidth="1" min="12" max="12" width="6.5"/>
    <col customWidth="1" min="13" max="13" width="5.63"/>
  </cols>
  <sheetData>
    <row r="1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K1" s="1" t="s">
        <v>9</v>
      </c>
      <c r="L1" s="1" t="s">
        <v>16</v>
      </c>
      <c r="M1" s="1" t="s">
        <v>1</v>
      </c>
    </row>
    <row r="2">
      <c r="A2" s="1" t="s">
        <v>17</v>
      </c>
      <c r="B2" s="1" t="s">
        <v>18</v>
      </c>
      <c r="C2" s="3">
        <v>1.0</v>
      </c>
      <c r="D2" s="4" t="s">
        <v>19</v>
      </c>
      <c r="E2" s="3">
        <v>16.0</v>
      </c>
      <c r="F2" s="4" t="s">
        <v>20</v>
      </c>
      <c r="G2" s="4" t="s">
        <v>19</v>
      </c>
      <c r="I2" s="2" t="b">
        <f t="shared" ref="I2:I64" si="1">G2=H2</f>
        <v>0</v>
      </c>
      <c r="K2" s="1" t="s">
        <v>18</v>
      </c>
      <c r="M2" s="2">
        <f>1*L2</f>
        <v>0</v>
      </c>
    </row>
    <row r="3">
      <c r="A3" s="1" t="s">
        <v>17</v>
      </c>
      <c r="B3" s="1" t="s">
        <v>18</v>
      </c>
      <c r="C3" s="3">
        <v>2.0</v>
      </c>
      <c r="D3" s="4" t="s">
        <v>21</v>
      </c>
      <c r="E3" s="3">
        <v>15.0</v>
      </c>
      <c r="F3" s="4" t="s">
        <v>22</v>
      </c>
      <c r="G3" s="4" t="s">
        <v>21</v>
      </c>
      <c r="I3" s="2" t="b">
        <f t="shared" si="1"/>
        <v>0</v>
      </c>
      <c r="K3" s="1" t="s">
        <v>7</v>
      </c>
      <c r="M3" s="2">
        <f>2*L3</f>
        <v>0</v>
      </c>
    </row>
    <row r="4">
      <c r="A4" s="1" t="s">
        <v>17</v>
      </c>
      <c r="B4" s="1" t="s">
        <v>18</v>
      </c>
      <c r="C4" s="3">
        <v>3.0</v>
      </c>
      <c r="D4" s="4" t="s">
        <v>23</v>
      </c>
      <c r="E4" s="3">
        <v>14.0</v>
      </c>
      <c r="F4" s="4" t="s">
        <v>24</v>
      </c>
      <c r="G4" s="4" t="s">
        <v>23</v>
      </c>
      <c r="I4" s="2" t="b">
        <f t="shared" si="1"/>
        <v>0</v>
      </c>
      <c r="K4" s="1" t="s">
        <v>6</v>
      </c>
      <c r="M4" s="2">
        <f>4*L4</f>
        <v>0</v>
      </c>
    </row>
    <row r="5">
      <c r="A5" s="1" t="s">
        <v>17</v>
      </c>
      <c r="B5" s="1" t="s">
        <v>18</v>
      </c>
      <c r="C5" s="3">
        <v>4.0</v>
      </c>
      <c r="D5" s="4" t="s">
        <v>25</v>
      </c>
      <c r="E5" s="3">
        <v>13.0</v>
      </c>
      <c r="F5" s="4" t="s">
        <v>26</v>
      </c>
      <c r="G5" s="4" t="s">
        <v>25</v>
      </c>
      <c r="I5" s="2" t="b">
        <f t="shared" si="1"/>
        <v>0</v>
      </c>
      <c r="K5" s="1" t="s">
        <v>5</v>
      </c>
      <c r="M5" s="2">
        <f>8*L5</f>
        <v>0</v>
      </c>
    </row>
    <row r="6">
      <c r="A6" s="1" t="s">
        <v>17</v>
      </c>
      <c r="B6" s="1" t="s">
        <v>18</v>
      </c>
      <c r="C6" s="3">
        <v>5.0</v>
      </c>
      <c r="D6" s="4" t="s">
        <v>27</v>
      </c>
      <c r="E6" s="3">
        <v>12.0</v>
      </c>
      <c r="F6" s="4" t="s">
        <v>28</v>
      </c>
      <c r="G6" s="4" t="s">
        <v>27</v>
      </c>
      <c r="I6" s="2" t="b">
        <f t="shared" si="1"/>
        <v>0</v>
      </c>
      <c r="K6" s="1" t="s">
        <v>4</v>
      </c>
      <c r="M6" s="2">
        <f>16*L6</f>
        <v>0</v>
      </c>
    </row>
    <row r="7">
      <c r="A7" s="1" t="s">
        <v>17</v>
      </c>
      <c r="B7" s="1" t="s">
        <v>18</v>
      </c>
      <c r="C7" s="3">
        <v>6.0</v>
      </c>
      <c r="D7" s="4" t="s">
        <v>29</v>
      </c>
      <c r="E7" s="3">
        <v>11.0</v>
      </c>
      <c r="F7" s="4" t="s">
        <v>30</v>
      </c>
      <c r="G7" s="4" t="s">
        <v>29</v>
      </c>
      <c r="I7" s="2" t="b">
        <f t="shared" si="1"/>
        <v>0</v>
      </c>
      <c r="K7" s="1" t="s">
        <v>3</v>
      </c>
      <c r="M7" s="2">
        <f>32*L7</f>
        <v>0</v>
      </c>
    </row>
    <row r="8">
      <c r="A8" s="1" t="s">
        <v>17</v>
      </c>
      <c r="B8" s="1" t="s">
        <v>18</v>
      </c>
      <c r="C8" s="3">
        <v>7.0</v>
      </c>
      <c r="D8" s="4" t="s">
        <v>31</v>
      </c>
      <c r="E8" s="3">
        <v>10.0</v>
      </c>
      <c r="F8" s="4" t="s">
        <v>32</v>
      </c>
      <c r="G8" s="4" t="s">
        <v>32</v>
      </c>
      <c r="I8" s="2" t="b">
        <f t="shared" si="1"/>
        <v>0</v>
      </c>
      <c r="L8" s="2">
        <f t="shared" ref="L8:M8" si="2">SUM(L2:L7)</f>
        <v>0</v>
      </c>
      <c r="M8" s="2">
        <f t="shared" si="2"/>
        <v>0</v>
      </c>
    </row>
    <row r="9">
      <c r="A9" s="1" t="s">
        <v>17</v>
      </c>
      <c r="B9" s="1" t="s">
        <v>18</v>
      </c>
      <c r="C9" s="3">
        <v>8.0</v>
      </c>
      <c r="D9" s="4" t="s">
        <v>33</v>
      </c>
      <c r="E9" s="3">
        <v>9.0</v>
      </c>
      <c r="F9" s="4" t="s">
        <v>34</v>
      </c>
      <c r="G9" s="4" t="s">
        <v>34</v>
      </c>
      <c r="I9" s="2" t="b">
        <f t="shared" si="1"/>
        <v>0</v>
      </c>
    </row>
    <row r="10">
      <c r="A10" s="1" t="s">
        <v>35</v>
      </c>
      <c r="B10" s="1" t="s">
        <v>18</v>
      </c>
      <c r="C10" s="3">
        <v>1.0</v>
      </c>
      <c r="D10" s="4" t="s">
        <v>36</v>
      </c>
      <c r="E10" s="3">
        <v>16.0</v>
      </c>
      <c r="F10" s="4" t="s">
        <v>37</v>
      </c>
      <c r="G10" s="4" t="s">
        <v>36</v>
      </c>
      <c r="I10" s="2" t="b">
        <f t="shared" si="1"/>
        <v>0</v>
      </c>
    </row>
    <row r="11">
      <c r="A11" s="1" t="s">
        <v>35</v>
      </c>
      <c r="B11" s="1" t="s">
        <v>18</v>
      </c>
      <c r="C11" s="3">
        <v>2.0</v>
      </c>
      <c r="D11" s="4" t="s">
        <v>38</v>
      </c>
      <c r="E11" s="3">
        <v>15.0</v>
      </c>
      <c r="F11" s="4" t="s">
        <v>39</v>
      </c>
      <c r="G11" s="4" t="s">
        <v>38</v>
      </c>
      <c r="I11" s="2" t="b">
        <f t="shared" si="1"/>
        <v>0</v>
      </c>
    </row>
    <row r="12">
      <c r="A12" s="1" t="s">
        <v>35</v>
      </c>
      <c r="B12" s="1" t="s">
        <v>18</v>
      </c>
      <c r="C12" s="3">
        <v>3.0</v>
      </c>
      <c r="D12" s="4" t="s">
        <v>40</v>
      </c>
      <c r="E12" s="3">
        <v>14.0</v>
      </c>
      <c r="F12" s="4" t="s">
        <v>41</v>
      </c>
      <c r="G12" s="4" t="s">
        <v>40</v>
      </c>
      <c r="I12" s="2" t="b">
        <f t="shared" si="1"/>
        <v>0</v>
      </c>
    </row>
    <row r="13">
      <c r="A13" s="1" t="s">
        <v>35</v>
      </c>
      <c r="B13" s="1" t="s">
        <v>18</v>
      </c>
      <c r="C13" s="3">
        <v>4.0</v>
      </c>
      <c r="D13" s="4" t="s">
        <v>42</v>
      </c>
      <c r="E13" s="3">
        <v>13.0</v>
      </c>
      <c r="F13" s="4" t="s">
        <v>43</v>
      </c>
      <c r="G13" s="4" t="s">
        <v>42</v>
      </c>
      <c r="I13" s="2" t="b">
        <f t="shared" si="1"/>
        <v>0</v>
      </c>
    </row>
    <row r="14">
      <c r="A14" s="1" t="s">
        <v>35</v>
      </c>
      <c r="B14" s="1" t="s">
        <v>18</v>
      </c>
      <c r="C14" s="3">
        <v>5.0</v>
      </c>
      <c r="D14" s="4" t="s">
        <v>44</v>
      </c>
      <c r="E14" s="3">
        <v>12.0</v>
      </c>
      <c r="F14" s="4" t="s">
        <v>45</v>
      </c>
      <c r="G14" s="4" t="s">
        <v>45</v>
      </c>
      <c r="I14" s="2" t="b">
        <f t="shared" si="1"/>
        <v>0</v>
      </c>
    </row>
    <row r="15">
      <c r="A15" s="1" t="s">
        <v>35</v>
      </c>
      <c r="B15" s="1" t="s">
        <v>18</v>
      </c>
      <c r="C15" s="3">
        <v>6.0</v>
      </c>
      <c r="D15" s="4" t="s">
        <v>46</v>
      </c>
      <c r="E15" s="3">
        <v>11.0</v>
      </c>
      <c r="F15" s="4" t="s">
        <v>47</v>
      </c>
      <c r="G15" s="4" t="s">
        <v>47</v>
      </c>
      <c r="I15" s="2" t="b">
        <f t="shared" si="1"/>
        <v>0</v>
      </c>
    </row>
    <row r="16">
      <c r="A16" s="1" t="s">
        <v>35</v>
      </c>
      <c r="B16" s="1" t="s">
        <v>18</v>
      </c>
      <c r="C16" s="3">
        <v>7.0</v>
      </c>
      <c r="D16" s="4" t="s">
        <v>48</v>
      </c>
      <c r="E16" s="3">
        <v>10.0</v>
      </c>
      <c r="F16" s="4" t="s">
        <v>49</v>
      </c>
      <c r="G16" s="4" t="s">
        <v>49</v>
      </c>
      <c r="I16" s="2" t="b">
        <f t="shared" si="1"/>
        <v>0</v>
      </c>
    </row>
    <row r="17">
      <c r="A17" s="1" t="s">
        <v>35</v>
      </c>
      <c r="B17" s="1" t="s">
        <v>18</v>
      </c>
      <c r="C17" s="3">
        <v>8.0</v>
      </c>
      <c r="D17" s="4" t="s">
        <v>50</v>
      </c>
      <c r="E17" s="3">
        <v>9.0</v>
      </c>
      <c r="F17" s="4" t="s">
        <v>51</v>
      </c>
      <c r="G17" s="4" t="s">
        <v>50</v>
      </c>
      <c r="I17" s="2" t="b">
        <f t="shared" si="1"/>
        <v>0</v>
      </c>
    </row>
    <row r="18">
      <c r="A18" s="1" t="s">
        <v>52</v>
      </c>
      <c r="B18" s="1" t="s">
        <v>18</v>
      </c>
      <c r="C18" s="3">
        <v>1.0</v>
      </c>
      <c r="D18" s="4" t="s">
        <v>53</v>
      </c>
      <c r="E18" s="3">
        <v>16.0</v>
      </c>
      <c r="F18" s="4" t="s">
        <v>54</v>
      </c>
      <c r="G18" s="4" t="s">
        <v>53</v>
      </c>
      <c r="I18" s="2" t="b">
        <f t="shared" si="1"/>
        <v>0</v>
      </c>
    </row>
    <row r="19">
      <c r="A19" s="1" t="s">
        <v>52</v>
      </c>
      <c r="B19" s="1" t="s">
        <v>18</v>
      </c>
      <c r="C19" s="3">
        <v>2.0</v>
      </c>
      <c r="D19" s="4" t="s">
        <v>55</v>
      </c>
      <c r="E19" s="3">
        <v>15.0</v>
      </c>
      <c r="F19" s="4" t="s">
        <v>56</v>
      </c>
      <c r="G19" s="4" t="s">
        <v>55</v>
      </c>
      <c r="I19" s="2" t="b">
        <f t="shared" si="1"/>
        <v>0</v>
      </c>
    </row>
    <row r="20">
      <c r="A20" s="1" t="s">
        <v>52</v>
      </c>
      <c r="B20" s="1" t="s">
        <v>18</v>
      </c>
      <c r="C20" s="3">
        <v>3.0</v>
      </c>
      <c r="D20" s="4" t="s">
        <v>57</v>
      </c>
      <c r="E20" s="3">
        <v>14.0</v>
      </c>
      <c r="F20" s="4" t="s">
        <v>58</v>
      </c>
      <c r="G20" s="4" t="s">
        <v>57</v>
      </c>
      <c r="I20" s="2" t="b">
        <f t="shared" si="1"/>
        <v>0</v>
      </c>
    </row>
    <row r="21">
      <c r="A21" s="1" t="s">
        <v>52</v>
      </c>
      <c r="B21" s="1" t="s">
        <v>18</v>
      </c>
      <c r="C21" s="3">
        <v>4.0</v>
      </c>
      <c r="D21" s="4" t="s">
        <v>59</v>
      </c>
      <c r="E21" s="3">
        <v>13.0</v>
      </c>
      <c r="F21" s="4" t="s">
        <v>60</v>
      </c>
      <c r="G21" s="4" t="s">
        <v>59</v>
      </c>
      <c r="I21" s="2" t="b">
        <f t="shared" si="1"/>
        <v>0</v>
      </c>
    </row>
    <row r="22">
      <c r="A22" s="1" t="s">
        <v>52</v>
      </c>
      <c r="B22" s="1" t="s">
        <v>18</v>
      </c>
      <c r="C22" s="3">
        <v>5.0</v>
      </c>
      <c r="D22" s="4" t="s">
        <v>61</v>
      </c>
      <c r="E22" s="3">
        <v>12.0</v>
      </c>
      <c r="F22" s="4" t="s">
        <v>62</v>
      </c>
      <c r="G22" s="4" t="s">
        <v>61</v>
      </c>
      <c r="I22" s="2" t="b">
        <f t="shared" si="1"/>
        <v>0</v>
      </c>
    </row>
    <row r="23">
      <c r="A23" s="1" t="s">
        <v>52</v>
      </c>
      <c r="B23" s="1" t="s">
        <v>18</v>
      </c>
      <c r="C23" s="3">
        <v>6.0</v>
      </c>
      <c r="D23" s="4" t="s">
        <v>63</v>
      </c>
      <c r="E23" s="3">
        <v>11.0</v>
      </c>
      <c r="F23" s="4" t="s">
        <v>64</v>
      </c>
      <c r="G23" s="4" t="s">
        <v>63</v>
      </c>
      <c r="I23" s="2" t="b">
        <f t="shared" si="1"/>
        <v>0</v>
      </c>
    </row>
    <row r="24">
      <c r="A24" s="1" t="s">
        <v>52</v>
      </c>
      <c r="B24" s="1" t="s">
        <v>18</v>
      </c>
      <c r="C24" s="3">
        <v>7.0</v>
      </c>
      <c r="D24" s="4" t="s">
        <v>65</v>
      </c>
      <c r="E24" s="3">
        <v>10.0</v>
      </c>
      <c r="F24" s="4" t="s">
        <v>66</v>
      </c>
      <c r="G24" s="4" t="s">
        <v>65</v>
      </c>
      <c r="I24" s="2" t="b">
        <f t="shared" si="1"/>
        <v>0</v>
      </c>
    </row>
    <row r="25">
      <c r="A25" s="1" t="s">
        <v>52</v>
      </c>
      <c r="B25" s="1" t="s">
        <v>18</v>
      </c>
      <c r="C25" s="3">
        <v>8.0</v>
      </c>
      <c r="D25" s="4" t="s">
        <v>67</v>
      </c>
      <c r="E25" s="3">
        <v>9.0</v>
      </c>
      <c r="F25" s="4" t="s">
        <v>68</v>
      </c>
      <c r="G25" s="4" t="s">
        <v>68</v>
      </c>
      <c r="I25" s="2" t="b">
        <f t="shared" si="1"/>
        <v>0</v>
      </c>
    </row>
    <row r="26">
      <c r="A26" s="1" t="s">
        <v>69</v>
      </c>
      <c r="B26" s="1" t="s">
        <v>18</v>
      </c>
      <c r="C26" s="3">
        <v>1.0</v>
      </c>
      <c r="D26" s="4" t="s">
        <v>70</v>
      </c>
      <c r="E26" s="3">
        <v>16.0</v>
      </c>
      <c r="F26" s="4" t="s">
        <v>71</v>
      </c>
      <c r="G26" s="4" t="s">
        <v>70</v>
      </c>
      <c r="I26" s="2" t="b">
        <f t="shared" si="1"/>
        <v>0</v>
      </c>
    </row>
    <row r="27">
      <c r="A27" s="1" t="s">
        <v>69</v>
      </c>
      <c r="B27" s="1" t="s">
        <v>18</v>
      </c>
      <c r="C27" s="3">
        <v>2.0</v>
      </c>
      <c r="D27" s="4" t="s">
        <v>72</v>
      </c>
      <c r="E27" s="3">
        <v>15.0</v>
      </c>
      <c r="F27" s="4" t="s">
        <v>73</v>
      </c>
      <c r="G27" s="4" t="s">
        <v>72</v>
      </c>
      <c r="I27" s="2" t="b">
        <f t="shared" si="1"/>
        <v>0</v>
      </c>
    </row>
    <row r="28">
      <c r="A28" s="1" t="s">
        <v>69</v>
      </c>
      <c r="B28" s="1" t="s">
        <v>18</v>
      </c>
      <c r="C28" s="3">
        <v>3.0</v>
      </c>
      <c r="D28" s="4" t="s">
        <v>74</v>
      </c>
      <c r="E28" s="3">
        <v>14.0</v>
      </c>
      <c r="F28" s="4" t="s">
        <v>75</v>
      </c>
      <c r="G28" s="4" t="s">
        <v>74</v>
      </c>
      <c r="I28" s="2" t="b">
        <f t="shared" si="1"/>
        <v>0</v>
      </c>
    </row>
    <row r="29">
      <c r="A29" s="1" t="s">
        <v>69</v>
      </c>
      <c r="B29" s="1" t="s">
        <v>18</v>
      </c>
      <c r="C29" s="3">
        <v>4.0</v>
      </c>
      <c r="D29" s="4" t="s">
        <v>76</v>
      </c>
      <c r="E29" s="3">
        <v>13.0</v>
      </c>
      <c r="F29" s="4" t="s">
        <v>77</v>
      </c>
      <c r="G29" s="4" t="s">
        <v>76</v>
      </c>
      <c r="I29" s="2" t="b">
        <f t="shared" si="1"/>
        <v>0</v>
      </c>
    </row>
    <row r="30">
      <c r="A30" s="1" t="s">
        <v>69</v>
      </c>
      <c r="B30" s="1" t="s">
        <v>18</v>
      </c>
      <c r="C30" s="3">
        <v>5.0</v>
      </c>
      <c r="D30" s="4" t="s">
        <v>78</v>
      </c>
      <c r="E30" s="3">
        <v>12.0</v>
      </c>
      <c r="F30" s="4" t="s">
        <v>79</v>
      </c>
      <c r="G30" s="4" t="s">
        <v>79</v>
      </c>
      <c r="I30" s="2" t="b">
        <f t="shared" si="1"/>
        <v>0</v>
      </c>
    </row>
    <row r="31">
      <c r="A31" s="1" t="s">
        <v>69</v>
      </c>
      <c r="B31" s="1" t="s">
        <v>18</v>
      </c>
      <c r="C31" s="3">
        <v>6.0</v>
      </c>
      <c r="D31" s="4" t="s">
        <v>80</v>
      </c>
      <c r="E31" s="3">
        <v>11.0</v>
      </c>
      <c r="F31" s="4" t="s">
        <v>81</v>
      </c>
      <c r="G31" s="4" t="s">
        <v>80</v>
      </c>
      <c r="I31" s="2" t="b">
        <f t="shared" si="1"/>
        <v>0</v>
      </c>
    </row>
    <row r="32">
      <c r="A32" s="1" t="s">
        <v>69</v>
      </c>
      <c r="B32" s="1" t="s">
        <v>18</v>
      </c>
      <c r="C32" s="3">
        <v>7.0</v>
      </c>
      <c r="D32" s="4" t="s">
        <v>82</v>
      </c>
      <c r="E32" s="3">
        <v>10.0</v>
      </c>
      <c r="F32" s="4" t="s">
        <v>83</v>
      </c>
      <c r="G32" s="4" t="s">
        <v>82</v>
      </c>
      <c r="I32" s="2" t="b">
        <f t="shared" si="1"/>
        <v>0</v>
      </c>
    </row>
    <row r="33">
      <c r="A33" s="1" t="s">
        <v>69</v>
      </c>
      <c r="B33" s="1" t="s">
        <v>18</v>
      </c>
      <c r="C33" s="3">
        <v>8.0</v>
      </c>
      <c r="D33" s="4" t="s">
        <v>84</v>
      </c>
      <c r="E33" s="3">
        <v>9.0</v>
      </c>
      <c r="F33" s="4" t="s">
        <v>85</v>
      </c>
      <c r="G33" s="4" t="s">
        <v>84</v>
      </c>
      <c r="I33" s="2" t="b">
        <f t="shared" si="1"/>
        <v>0</v>
      </c>
    </row>
    <row r="34">
      <c r="A34" s="1" t="s">
        <v>17</v>
      </c>
      <c r="B34" s="1" t="s">
        <v>7</v>
      </c>
      <c r="C34" s="1">
        <v>1.0</v>
      </c>
      <c r="D34" s="4" t="s">
        <v>19</v>
      </c>
      <c r="E34" s="1">
        <v>9.0</v>
      </c>
      <c r="F34" s="1" t="s">
        <v>34</v>
      </c>
      <c r="G34" s="1" t="s">
        <v>19</v>
      </c>
      <c r="I34" s="2" t="b">
        <f t="shared" si="1"/>
        <v>0</v>
      </c>
    </row>
    <row r="35">
      <c r="A35" s="1" t="s">
        <v>17</v>
      </c>
      <c r="B35" s="1" t="s">
        <v>7</v>
      </c>
      <c r="C35" s="1">
        <v>2.0</v>
      </c>
      <c r="D35" s="4" t="s">
        <v>21</v>
      </c>
      <c r="E35" s="1">
        <v>10.0</v>
      </c>
      <c r="F35" s="1" t="s">
        <v>32</v>
      </c>
      <c r="G35" s="1" t="s">
        <v>86</v>
      </c>
      <c r="I35" s="2" t="b">
        <f t="shared" si="1"/>
        <v>0</v>
      </c>
    </row>
    <row r="36">
      <c r="A36" s="1" t="s">
        <v>17</v>
      </c>
      <c r="B36" s="1" t="s">
        <v>7</v>
      </c>
      <c r="C36" s="1">
        <v>3.0</v>
      </c>
      <c r="D36" s="4" t="s">
        <v>23</v>
      </c>
      <c r="E36" s="1">
        <v>6.0</v>
      </c>
      <c r="F36" s="1" t="s">
        <v>87</v>
      </c>
      <c r="G36" s="1" t="s">
        <v>87</v>
      </c>
      <c r="I36" s="2" t="b">
        <f t="shared" si="1"/>
        <v>0</v>
      </c>
    </row>
    <row r="37">
      <c r="A37" s="1" t="s">
        <v>17</v>
      </c>
      <c r="B37" s="1" t="s">
        <v>7</v>
      </c>
      <c r="C37" s="1">
        <v>4.0</v>
      </c>
      <c r="D37" s="4" t="s">
        <v>25</v>
      </c>
      <c r="E37" s="1">
        <v>5.0</v>
      </c>
      <c r="F37" s="1" t="s">
        <v>27</v>
      </c>
      <c r="G37" s="1" t="s">
        <v>27</v>
      </c>
      <c r="I37" s="2" t="b">
        <f t="shared" si="1"/>
        <v>0</v>
      </c>
    </row>
    <row r="38">
      <c r="A38" s="1" t="s">
        <v>35</v>
      </c>
      <c r="B38" s="1" t="s">
        <v>7</v>
      </c>
      <c r="C38" s="1">
        <v>1.0</v>
      </c>
      <c r="D38" s="4" t="s">
        <v>36</v>
      </c>
      <c r="E38" s="1">
        <v>8.0</v>
      </c>
      <c r="F38" s="1" t="s">
        <v>88</v>
      </c>
      <c r="G38" s="1" t="s">
        <v>36</v>
      </c>
      <c r="I38" s="2" t="b">
        <f t="shared" si="1"/>
        <v>0</v>
      </c>
    </row>
    <row r="39">
      <c r="A39" s="1" t="s">
        <v>35</v>
      </c>
      <c r="B39" s="1" t="s">
        <v>7</v>
      </c>
      <c r="C39" s="1">
        <v>2.0</v>
      </c>
      <c r="D39" s="4" t="s">
        <v>38</v>
      </c>
      <c r="E39" s="1">
        <v>10.0</v>
      </c>
      <c r="F39" s="1" t="s">
        <v>49</v>
      </c>
      <c r="G39" s="1" t="s">
        <v>49</v>
      </c>
      <c r="I39" s="2" t="b">
        <f t="shared" si="1"/>
        <v>0</v>
      </c>
    </row>
    <row r="40">
      <c r="A40" s="1" t="s">
        <v>35</v>
      </c>
      <c r="B40" s="1" t="s">
        <v>7</v>
      </c>
      <c r="C40" s="1">
        <v>3.0</v>
      </c>
      <c r="D40" s="4" t="s">
        <v>40</v>
      </c>
      <c r="E40" s="1">
        <v>11.0</v>
      </c>
      <c r="F40" s="1" t="s">
        <v>47</v>
      </c>
      <c r="G40" s="1" t="s">
        <v>40</v>
      </c>
      <c r="I40" s="2" t="b">
        <f t="shared" si="1"/>
        <v>0</v>
      </c>
    </row>
    <row r="41">
      <c r="A41" s="1" t="s">
        <v>35</v>
      </c>
      <c r="B41" s="1" t="s">
        <v>7</v>
      </c>
      <c r="C41" s="1">
        <v>4.0</v>
      </c>
      <c r="D41" s="4" t="s">
        <v>42</v>
      </c>
      <c r="E41" s="1">
        <v>12.0</v>
      </c>
      <c r="F41" s="1" t="s">
        <v>45</v>
      </c>
      <c r="G41" s="1" t="s">
        <v>42</v>
      </c>
      <c r="I41" s="2" t="b">
        <f t="shared" si="1"/>
        <v>0</v>
      </c>
    </row>
    <row r="42">
      <c r="A42" s="1" t="s">
        <v>52</v>
      </c>
      <c r="B42" s="1" t="s">
        <v>7</v>
      </c>
      <c r="C42" s="1">
        <v>1.0</v>
      </c>
      <c r="D42" s="4" t="s">
        <v>53</v>
      </c>
      <c r="E42" s="1">
        <v>9.0</v>
      </c>
      <c r="F42" s="1" t="s">
        <v>68</v>
      </c>
      <c r="G42" s="1" t="s">
        <v>53</v>
      </c>
      <c r="I42" s="2" t="b">
        <f t="shared" si="1"/>
        <v>0</v>
      </c>
    </row>
    <row r="43">
      <c r="A43" s="1" t="s">
        <v>52</v>
      </c>
      <c r="B43" s="1" t="s">
        <v>7</v>
      </c>
      <c r="C43" s="1">
        <v>2.0</v>
      </c>
      <c r="D43" s="4" t="s">
        <v>55</v>
      </c>
      <c r="E43" s="1">
        <v>7.0</v>
      </c>
      <c r="F43" s="1" t="s">
        <v>65</v>
      </c>
      <c r="G43" s="1" t="s">
        <v>55</v>
      </c>
      <c r="I43" s="2" t="b">
        <f t="shared" si="1"/>
        <v>0</v>
      </c>
    </row>
    <row r="44">
      <c r="A44" s="1" t="s">
        <v>52</v>
      </c>
      <c r="B44" s="1" t="s">
        <v>7</v>
      </c>
      <c r="C44" s="1">
        <v>3.0</v>
      </c>
      <c r="D44" s="4" t="s">
        <v>57</v>
      </c>
      <c r="E44" s="1">
        <v>6.0</v>
      </c>
      <c r="F44" s="1" t="s">
        <v>63</v>
      </c>
      <c r="G44" s="1" t="s">
        <v>63</v>
      </c>
      <c r="I44" s="2" t="b">
        <f t="shared" si="1"/>
        <v>0</v>
      </c>
    </row>
    <row r="45">
      <c r="A45" s="1" t="s">
        <v>52</v>
      </c>
      <c r="B45" s="1" t="s">
        <v>7</v>
      </c>
      <c r="C45" s="1">
        <v>4.0</v>
      </c>
      <c r="D45" s="4" t="s">
        <v>59</v>
      </c>
      <c r="E45" s="1">
        <v>5.0</v>
      </c>
      <c r="F45" s="1" t="s">
        <v>61</v>
      </c>
      <c r="G45" s="1" t="s">
        <v>59</v>
      </c>
      <c r="I45" s="2" t="b">
        <f t="shared" si="1"/>
        <v>0</v>
      </c>
    </row>
    <row r="46">
      <c r="A46" s="1" t="s">
        <v>69</v>
      </c>
      <c r="B46" s="1" t="s">
        <v>7</v>
      </c>
      <c r="C46" s="3">
        <v>1.0</v>
      </c>
      <c r="D46" s="4" t="s">
        <v>70</v>
      </c>
      <c r="E46" s="1">
        <v>8.0</v>
      </c>
      <c r="F46" s="1" t="s">
        <v>84</v>
      </c>
      <c r="G46" s="1" t="s">
        <v>70</v>
      </c>
      <c r="I46" s="2" t="b">
        <f t="shared" si="1"/>
        <v>0</v>
      </c>
    </row>
    <row r="47">
      <c r="A47" s="1" t="s">
        <v>69</v>
      </c>
      <c r="B47" s="1" t="s">
        <v>7</v>
      </c>
      <c r="C47" s="3">
        <v>2.0</v>
      </c>
      <c r="D47" s="4" t="s">
        <v>72</v>
      </c>
      <c r="E47" s="1">
        <v>7.0</v>
      </c>
      <c r="F47" s="1" t="s">
        <v>82</v>
      </c>
      <c r="G47" s="1" t="s">
        <v>72</v>
      </c>
      <c r="I47" s="2" t="b">
        <f t="shared" si="1"/>
        <v>0</v>
      </c>
    </row>
    <row r="48">
      <c r="A48" s="1" t="s">
        <v>69</v>
      </c>
      <c r="B48" s="1" t="s">
        <v>7</v>
      </c>
      <c r="C48" s="3">
        <v>3.0</v>
      </c>
      <c r="D48" s="4" t="s">
        <v>74</v>
      </c>
      <c r="E48" s="1">
        <v>6.0</v>
      </c>
      <c r="F48" s="1" t="s">
        <v>80</v>
      </c>
      <c r="G48" s="1" t="s">
        <v>74</v>
      </c>
      <c r="I48" s="2" t="b">
        <f t="shared" si="1"/>
        <v>0</v>
      </c>
    </row>
    <row r="49">
      <c r="A49" s="1" t="s">
        <v>69</v>
      </c>
      <c r="B49" s="1" t="s">
        <v>7</v>
      </c>
      <c r="C49" s="3">
        <v>4.0</v>
      </c>
      <c r="D49" s="4" t="s">
        <v>76</v>
      </c>
      <c r="E49" s="1">
        <v>12.0</v>
      </c>
      <c r="F49" s="1" t="s">
        <v>79</v>
      </c>
      <c r="G49" s="1" t="s">
        <v>76</v>
      </c>
      <c r="I49" s="2" t="b">
        <f t="shared" si="1"/>
        <v>0</v>
      </c>
    </row>
    <row r="50">
      <c r="A50" s="1" t="s">
        <v>17</v>
      </c>
      <c r="B50" s="1" t="s">
        <v>6</v>
      </c>
      <c r="C50" s="1">
        <v>1.0</v>
      </c>
      <c r="D50" s="1" t="s">
        <v>19</v>
      </c>
      <c r="E50" s="1">
        <v>5.0</v>
      </c>
      <c r="F50" s="1" t="s">
        <v>27</v>
      </c>
      <c r="G50" s="1" t="s">
        <v>19</v>
      </c>
      <c r="I50" s="2" t="b">
        <f t="shared" si="1"/>
        <v>0</v>
      </c>
    </row>
    <row r="51">
      <c r="A51" s="1" t="s">
        <v>17</v>
      </c>
      <c r="B51" s="1" t="s">
        <v>6</v>
      </c>
      <c r="C51" s="1">
        <v>2.0</v>
      </c>
      <c r="D51" s="1" t="s">
        <v>86</v>
      </c>
      <c r="E51" s="1">
        <v>6.0</v>
      </c>
      <c r="F51" s="1" t="s">
        <v>87</v>
      </c>
      <c r="G51" s="1" t="s">
        <v>86</v>
      </c>
      <c r="I51" s="2" t="b">
        <f t="shared" si="1"/>
        <v>0</v>
      </c>
    </row>
    <row r="52">
      <c r="A52" s="1" t="s">
        <v>35</v>
      </c>
      <c r="B52" s="1" t="s">
        <v>6</v>
      </c>
      <c r="C52" s="1">
        <v>1.0</v>
      </c>
      <c r="D52" s="1" t="s">
        <v>36</v>
      </c>
      <c r="E52" s="1">
        <v>4.0</v>
      </c>
      <c r="F52" s="1" t="s">
        <v>42</v>
      </c>
      <c r="G52" s="1" t="s">
        <v>36</v>
      </c>
      <c r="I52" s="2" t="b">
        <f t="shared" si="1"/>
        <v>0</v>
      </c>
    </row>
    <row r="53">
      <c r="A53" s="1" t="s">
        <v>35</v>
      </c>
      <c r="B53" s="1" t="s">
        <v>6</v>
      </c>
      <c r="C53" s="1">
        <v>3.0</v>
      </c>
      <c r="D53" s="1" t="s">
        <v>40</v>
      </c>
      <c r="E53" s="1">
        <v>10.0</v>
      </c>
      <c r="F53" s="1" t="s">
        <v>49</v>
      </c>
      <c r="G53" s="1" t="s">
        <v>40</v>
      </c>
      <c r="I53" s="2" t="b">
        <f t="shared" si="1"/>
        <v>0</v>
      </c>
    </row>
    <row r="54">
      <c r="A54" s="1" t="s">
        <v>52</v>
      </c>
      <c r="B54" s="1" t="s">
        <v>6</v>
      </c>
      <c r="C54" s="1">
        <v>1.0</v>
      </c>
      <c r="D54" s="1" t="s">
        <v>53</v>
      </c>
      <c r="E54" s="1">
        <v>4.0</v>
      </c>
      <c r="F54" s="1" t="s">
        <v>53</v>
      </c>
      <c r="G54" s="1" t="s">
        <v>53</v>
      </c>
      <c r="I54" s="2" t="b">
        <f t="shared" si="1"/>
        <v>0</v>
      </c>
    </row>
    <row r="55">
      <c r="A55" s="1" t="s">
        <v>52</v>
      </c>
      <c r="B55" s="1" t="s">
        <v>6</v>
      </c>
      <c r="C55" s="1">
        <v>2.0</v>
      </c>
      <c r="D55" s="1" t="s">
        <v>55</v>
      </c>
      <c r="E55" s="1">
        <v>6.0</v>
      </c>
      <c r="F55" s="1" t="s">
        <v>63</v>
      </c>
      <c r="G55" s="1" t="s">
        <v>55</v>
      </c>
      <c r="I55" s="2" t="b">
        <f t="shared" si="1"/>
        <v>0</v>
      </c>
    </row>
    <row r="56">
      <c r="A56" s="1" t="s">
        <v>69</v>
      </c>
      <c r="B56" s="1" t="s">
        <v>6</v>
      </c>
      <c r="C56" s="1">
        <v>1.0</v>
      </c>
      <c r="D56" s="1" t="s">
        <v>70</v>
      </c>
      <c r="E56" s="1">
        <v>4.0</v>
      </c>
      <c r="F56" s="1" t="s">
        <v>76</v>
      </c>
      <c r="G56" s="1" t="s">
        <v>70</v>
      </c>
      <c r="I56" s="2" t="b">
        <f t="shared" si="1"/>
        <v>0</v>
      </c>
    </row>
    <row r="57">
      <c r="A57" s="1" t="s">
        <v>69</v>
      </c>
      <c r="B57" s="1" t="s">
        <v>6</v>
      </c>
      <c r="C57" s="1">
        <v>2.0</v>
      </c>
      <c r="D57" s="1" t="s">
        <v>72</v>
      </c>
      <c r="E57" s="1">
        <v>3.0</v>
      </c>
      <c r="F57" s="1" t="s">
        <v>74</v>
      </c>
      <c r="G57" s="1" t="s">
        <v>72</v>
      </c>
      <c r="I57" s="2" t="b">
        <f t="shared" si="1"/>
        <v>0</v>
      </c>
    </row>
    <row r="58">
      <c r="A58" s="1" t="s">
        <v>17</v>
      </c>
      <c r="B58" s="1" t="s">
        <v>5</v>
      </c>
      <c r="C58" s="1">
        <v>1.0</v>
      </c>
      <c r="D58" s="1" t="s">
        <v>19</v>
      </c>
      <c r="E58" s="1">
        <v>2.0</v>
      </c>
      <c r="F58" s="1" t="s">
        <v>86</v>
      </c>
      <c r="G58" s="1" t="s">
        <v>19</v>
      </c>
      <c r="I58" s="2" t="b">
        <f t="shared" si="1"/>
        <v>0</v>
      </c>
    </row>
    <row r="59">
      <c r="A59" s="1" t="s">
        <v>35</v>
      </c>
      <c r="B59" s="1" t="s">
        <v>5</v>
      </c>
      <c r="C59" s="1">
        <v>1.0</v>
      </c>
      <c r="D59" s="1" t="s">
        <v>36</v>
      </c>
      <c r="E59" s="1">
        <v>3.0</v>
      </c>
      <c r="F59" s="1" t="s">
        <v>40</v>
      </c>
      <c r="G59" s="1" t="s">
        <v>36</v>
      </c>
      <c r="I59" s="2" t="b">
        <f t="shared" si="1"/>
        <v>0</v>
      </c>
    </row>
    <row r="60">
      <c r="A60" s="1" t="s">
        <v>52</v>
      </c>
      <c r="B60" s="1" t="s">
        <v>5</v>
      </c>
      <c r="C60" s="1">
        <v>1.0</v>
      </c>
      <c r="D60" s="1" t="s">
        <v>53</v>
      </c>
      <c r="E60" s="1">
        <v>2.0</v>
      </c>
      <c r="F60" s="1" t="s">
        <v>55</v>
      </c>
      <c r="G60" s="1" t="s">
        <v>53</v>
      </c>
      <c r="I60" s="2" t="b">
        <f t="shared" si="1"/>
        <v>0</v>
      </c>
    </row>
    <row r="61">
      <c r="A61" s="1" t="s">
        <v>69</v>
      </c>
      <c r="B61" s="1" t="s">
        <v>5</v>
      </c>
      <c r="C61" s="1">
        <v>1.0</v>
      </c>
      <c r="D61" s="1" t="s">
        <v>70</v>
      </c>
      <c r="E61" s="1">
        <v>2.0</v>
      </c>
      <c r="F61" s="1" t="s">
        <v>72</v>
      </c>
      <c r="G61" s="1" t="s">
        <v>70</v>
      </c>
      <c r="I61" s="2" t="b">
        <f t="shared" si="1"/>
        <v>0</v>
      </c>
    </row>
    <row r="62">
      <c r="A62" s="1" t="s">
        <v>4</v>
      </c>
      <c r="B62" s="1" t="s">
        <v>4</v>
      </c>
      <c r="C62" s="1">
        <v>1.0</v>
      </c>
      <c r="D62" s="1" t="s">
        <v>19</v>
      </c>
      <c r="E62" s="1">
        <v>1.0</v>
      </c>
      <c r="F62" s="1" t="s">
        <v>36</v>
      </c>
      <c r="G62" s="1" t="s">
        <v>36</v>
      </c>
      <c r="I62" s="2" t="b">
        <f t="shared" si="1"/>
        <v>0</v>
      </c>
    </row>
    <row r="63">
      <c r="A63" s="1" t="s">
        <v>4</v>
      </c>
      <c r="B63" s="1" t="s">
        <v>4</v>
      </c>
      <c r="C63" s="1">
        <v>1.0</v>
      </c>
      <c r="D63" s="1" t="s">
        <v>53</v>
      </c>
      <c r="E63" s="1">
        <v>1.0</v>
      </c>
      <c r="F63" s="1" t="s">
        <v>70</v>
      </c>
      <c r="G63" s="1" t="s">
        <v>70</v>
      </c>
      <c r="I63" s="2" t="b">
        <f t="shared" si="1"/>
        <v>0</v>
      </c>
    </row>
    <row r="64">
      <c r="A64" s="1" t="s">
        <v>4</v>
      </c>
      <c r="B64" s="1" t="s">
        <v>3</v>
      </c>
      <c r="C64" s="1">
        <v>1.0</v>
      </c>
      <c r="D64" s="1" t="s">
        <v>36</v>
      </c>
      <c r="E64" s="1">
        <v>1.0</v>
      </c>
      <c r="F64" s="1" t="s">
        <v>70</v>
      </c>
      <c r="G64" s="1" t="s">
        <v>36</v>
      </c>
      <c r="I64" s="2" t="b">
        <f t="shared" si="1"/>
        <v>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11.75"/>
    <col customWidth="1" min="3" max="3" width="8.88"/>
    <col customWidth="1" min="4" max="4" width="12.13"/>
    <col customWidth="1" min="5" max="5" width="8.5"/>
    <col customWidth="1" min="6" max="7" width="14.25"/>
    <col customWidth="1" min="8" max="8" width="10.75"/>
    <col customWidth="1" min="9" max="9" width="6.5"/>
    <col customWidth="1" min="11" max="11" width="11.75"/>
    <col customWidth="1" min="12" max="12" width="6.5"/>
    <col customWidth="1" min="13" max="13" width="5.63"/>
  </cols>
  <sheetData>
    <row r="1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K1" s="1" t="s">
        <v>9</v>
      </c>
      <c r="L1" s="1" t="s">
        <v>16</v>
      </c>
      <c r="M1" s="1" t="s">
        <v>1</v>
      </c>
    </row>
    <row r="2">
      <c r="A2" s="1" t="s">
        <v>17</v>
      </c>
      <c r="B2" s="1" t="s">
        <v>18</v>
      </c>
      <c r="C2" s="3">
        <v>1.0</v>
      </c>
      <c r="D2" s="4" t="s">
        <v>88</v>
      </c>
      <c r="E2" s="3">
        <v>16.0</v>
      </c>
      <c r="F2" s="4" t="s">
        <v>89</v>
      </c>
      <c r="G2" s="4" t="s">
        <v>88</v>
      </c>
      <c r="I2" s="2" t="b">
        <f t="shared" ref="I2:I64" si="1">G2=H2</f>
        <v>0</v>
      </c>
      <c r="K2" s="1" t="s">
        <v>18</v>
      </c>
      <c r="M2" s="2">
        <f>1*L2</f>
        <v>0</v>
      </c>
    </row>
    <row r="3">
      <c r="A3" s="1" t="s">
        <v>17</v>
      </c>
      <c r="B3" s="1" t="s">
        <v>18</v>
      </c>
      <c r="C3" s="3">
        <v>2.0</v>
      </c>
      <c r="D3" s="4" t="s">
        <v>23</v>
      </c>
      <c r="E3" s="3">
        <v>15.0</v>
      </c>
      <c r="F3" s="4" t="s">
        <v>90</v>
      </c>
      <c r="G3" s="4" t="s">
        <v>23</v>
      </c>
      <c r="I3" s="2" t="b">
        <f t="shared" si="1"/>
        <v>0</v>
      </c>
      <c r="K3" s="1" t="s">
        <v>7</v>
      </c>
      <c r="M3" s="2">
        <f>2*L3</f>
        <v>0</v>
      </c>
    </row>
    <row r="4">
      <c r="A4" s="1" t="s">
        <v>17</v>
      </c>
      <c r="B4" s="1" t="s">
        <v>18</v>
      </c>
      <c r="C4" s="3">
        <v>3.0</v>
      </c>
      <c r="D4" s="4" t="s">
        <v>80</v>
      </c>
      <c r="E4" s="3">
        <v>14.0</v>
      </c>
      <c r="F4" s="4" t="s">
        <v>91</v>
      </c>
      <c r="G4" s="4" t="s">
        <v>80</v>
      </c>
      <c r="I4" s="2" t="b">
        <f t="shared" si="1"/>
        <v>0</v>
      </c>
      <c r="K4" s="1" t="s">
        <v>6</v>
      </c>
      <c r="M4" s="2">
        <f>4*L4</f>
        <v>0</v>
      </c>
    </row>
    <row r="5">
      <c r="A5" s="1" t="s">
        <v>17</v>
      </c>
      <c r="B5" s="1" t="s">
        <v>18</v>
      </c>
      <c r="C5" s="3">
        <v>4.0</v>
      </c>
      <c r="D5" s="4" t="s">
        <v>19</v>
      </c>
      <c r="E5" s="3">
        <v>13.0</v>
      </c>
      <c r="F5" s="4" t="s">
        <v>26</v>
      </c>
      <c r="G5" s="4" t="s">
        <v>26</v>
      </c>
      <c r="I5" s="2" t="b">
        <f t="shared" si="1"/>
        <v>0</v>
      </c>
      <c r="K5" s="1" t="s">
        <v>5</v>
      </c>
      <c r="M5" s="2">
        <f>8*L5</f>
        <v>0</v>
      </c>
    </row>
    <row r="6">
      <c r="A6" s="1" t="s">
        <v>17</v>
      </c>
      <c r="B6" s="1" t="s">
        <v>18</v>
      </c>
      <c r="C6" s="3">
        <v>5.0</v>
      </c>
      <c r="D6" s="4" t="s">
        <v>92</v>
      </c>
      <c r="E6" s="3">
        <v>12.0</v>
      </c>
      <c r="F6" s="4" t="s">
        <v>93</v>
      </c>
      <c r="G6" s="4" t="s">
        <v>92</v>
      </c>
      <c r="I6" s="2" t="b">
        <f t="shared" si="1"/>
        <v>0</v>
      </c>
      <c r="K6" s="1" t="s">
        <v>4</v>
      </c>
      <c r="M6" s="2">
        <f>16*L6</f>
        <v>0</v>
      </c>
    </row>
    <row r="7">
      <c r="A7" s="1" t="s">
        <v>17</v>
      </c>
      <c r="B7" s="1" t="s">
        <v>18</v>
      </c>
      <c r="C7" s="3">
        <v>6.0</v>
      </c>
      <c r="D7" s="4" t="s">
        <v>63</v>
      </c>
      <c r="E7" s="3">
        <v>11.0</v>
      </c>
      <c r="F7" s="4" t="s">
        <v>94</v>
      </c>
      <c r="G7" s="4" t="s">
        <v>94</v>
      </c>
      <c r="I7" s="2" t="b">
        <f t="shared" si="1"/>
        <v>0</v>
      </c>
      <c r="K7" s="1" t="s">
        <v>3</v>
      </c>
      <c r="M7" s="2">
        <f>32*L7</f>
        <v>0</v>
      </c>
    </row>
    <row r="8">
      <c r="A8" s="1" t="s">
        <v>17</v>
      </c>
      <c r="B8" s="1" t="s">
        <v>18</v>
      </c>
      <c r="C8" s="3">
        <v>7.0</v>
      </c>
      <c r="D8" s="4" t="s">
        <v>95</v>
      </c>
      <c r="E8" s="3">
        <v>10.0</v>
      </c>
      <c r="F8" s="4" t="s">
        <v>47</v>
      </c>
      <c r="G8" s="4" t="s">
        <v>95</v>
      </c>
      <c r="I8" s="2" t="b">
        <f t="shared" si="1"/>
        <v>0</v>
      </c>
      <c r="L8" s="2">
        <f t="shared" ref="L8:M8" si="2">SUM(L2:L7)</f>
        <v>0</v>
      </c>
      <c r="M8" s="2">
        <f t="shared" si="2"/>
        <v>0</v>
      </c>
    </row>
    <row r="9">
      <c r="A9" s="1" t="s">
        <v>17</v>
      </c>
      <c r="B9" s="1" t="s">
        <v>18</v>
      </c>
      <c r="C9" s="3">
        <v>8.0</v>
      </c>
      <c r="D9" s="4" t="s">
        <v>96</v>
      </c>
      <c r="E9" s="3">
        <v>9.0</v>
      </c>
      <c r="F9" s="4" t="s">
        <v>97</v>
      </c>
      <c r="G9" s="4" t="s">
        <v>97</v>
      </c>
      <c r="I9" s="2" t="b">
        <f t="shared" si="1"/>
        <v>0</v>
      </c>
    </row>
    <row r="10">
      <c r="A10" s="1" t="s">
        <v>35</v>
      </c>
      <c r="B10" s="1" t="s">
        <v>18</v>
      </c>
      <c r="C10" s="3">
        <v>1.0</v>
      </c>
      <c r="D10" s="4" t="s">
        <v>30</v>
      </c>
      <c r="E10" s="3">
        <v>16.0</v>
      </c>
      <c r="F10" s="4" t="s">
        <v>98</v>
      </c>
      <c r="G10" s="4" t="s">
        <v>30</v>
      </c>
      <c r="I10" s="2" t="b">
        <f t="shared" si="1"/>
        <v>0</v>
      </c>
    </row>
    <row r="11">
      <c r="A11" s="1" t="s">
        <v>35</v>
      </c>
      <c r="B11" s="1" t="s">
        <v>18</v>
      </c>
      <c r="C11" s="3">
        <v>2.0</v>
      </c>
      <c r="D11" s="4" t="s">
        <v>59</v>
      </c>
      <c r="E11" s="3">
        <v>15.0</v>
      </c>
      <c r="F11" s="4" t="s">
        <v>99</v>
      </c>
      <c r="G11" s="4" t="s">
        <v>59</v>
      </c>
      <c r="I11" s="2" t="b">
        <f t="shared" si="1"/>
        <v>0</v>
      </c>
    </row>
    <row r="12">
      <c r="A12" s="1" t="s">
        <v>35</v>
      </c>
      <c r="B12" s="1" t="s">
        <v>18</v>
      </c>
      <c r="C12" s="3">
        <v>3.0</v>
      </c>
      <c r="D12" s="4" t="s">
        <v>68</v>
      </c>
      <c r="E12" s="3">
        <v>14.0</v>
      </c>
      <c r="F12" s="4" t="s">
        <v>100</v>
      </c>
      <c r="G12" s="4" t="s">
        <v>68</v>
      </c>
      <c r="I12" s="2" t="b">
        <f t="shared" si="1"/>
        <v>0</v>
      </c>
    </row>
    <row r="13">
      <c r="A13" s="1" t="s">
        <v>35</v>
      </c>
      <c r="B13" s="1" t="s">
        <v>18</v>
      </c>
      <c r="C13" s="3">
        <v>4.0</v>
      </c>
      <c r="D13" s="4" t="s">
        <v>55</v>
      </c>
      <c r="E13" s="3">
        <v>13.0</v>
      </c>
      <c r="F13" s="4" t="s">
        <v>101</v>
      </c>
      <c r="G13" s="4" t="s">
        <v>55</v>
      </c>
      <c r="I13" s="2" t="b">
        <f t="shared" si="1"/>
        <v>0</v>
      </c>
    </row>
    <row r="14">
      <c r="A14" s="1" t="s">
        <v>35</v>
      </c>
      <c r="B14" s="1" t="s">
        <v>18</v>
      </c>
      <c r="C14" s="3">
        <v>5.0</v>
      </c>
      <c r="D14" s="4" t="s">
        <v>65</v>
      </c>
      <c r="E14" s="3">
        <v>12.0</v>
      </c>
      <c r="F14" s="4" t="s">
        <v>43</v>
      </c>
      <c r="G14" s="4" t="s">
        <v>43</v>
      </c>
      <c r="I14" s="2" t="b">
        <f t="shared" si="1"/>
        <v>0</v>
      </c>
      <c r="K14" s="3"/>
      <c r="L14" s="4"/>
      <c r="M14" s="3"/>
      <c r="N14" s="4"/>
      <c r="O14" s="4"/>
    </row>
    <row r="15">
      <c r="A15" s="1" t="s">
        <v>35</v>
      </c>
      <c r="B15" s="1" t="s">
        <v>18</v>
      </c>
      <c r="C15" s="3">
        <v>6.0</v>
      </c>
      <c r="D15" s="4" t="s">
        <v>78</v>
      </c>
      <c r="E15" s="3">
        <v>11.0</v>
      </c>
      <c r="F15" s="4" t="s">
        <v>32</v>
      </c>
      <c r="G15" s="4" t="s">
        <v>78</v>
      </c>
      <c r="I15" s="2" t="b">
        <f t="shared" si="1"/>
        <v>0</v>
      </c>
      <c r="K15" s="3"/>
      <c r="L15" s="4"/>
      <c r="M15" s="3"/>
      <c r="N15" s="4"/>
      <c r="O15" s="4"/>
    </row>
    <row r="16">
      <c r="A16" s="1" t="s">
        <v>35</v>
      </c>
      <c r="B16" s="1" t="s">
        <v>18</v>
      </c>
      <c r="C16" s="3">
        <v>7.0</v>
      </c>
      <c r="D16" s="4" t="s">
        <v>102</v>
      </c>
      <c r="E16" s="3">
        <v>10.0</v>
      </c>
      <c r="F16" s="4" t="s">
        <v>103</v>
      </c>
      <c r="G16" s="4" t="s">
        <v>102</v>
      </c>
      <c r="I16" s="2" t="b">
        <f t="shared" si="1"/>
        <v>0</v>
      </c>
      <c r="K16" s="3"/>
      <c r="L16" s="4"/>
      <c r="M16" s="3"/>
      <c r="N16" s="4"/>
      <c r="O16" s="4"/>
    </row>
    <row r="17">
      <c r="A17" s="1" t="s">
        <v>35</v>
      </c>
      <c r="B17" s="1" t="s">
        <v>18</v>
      </c>
      <c r="C17" s="3">
        <v>8.0</v>
      </c>
      <c r="D17" s="4" t="s">
        <v>67</v>
      </c>
      <c r="E17" s="3">
        <v>9.0</v>
      </c>
      <c r="F17" s="4" t="s">
        <v>21</v>
      </c>
      <c r="G17" s="4" t="s">
        <v>21</v>
      </c>
      <c r="I17" s="2" t="b">
        <f t="shared" si="1"/>
        <v>0</v>
      </c>
      <c r="K17" s="3"/>
      <c r="L17" s="4"/>
      <c r="M17" s="3"/>
      <c r="N17" s="4"/>
      <c r="O17" s="4"/>
    </row>
    <row r="18">
      <c r="A18" s="1" t="s">
        <v>52</v>
      </c>
      <c r="B18" s="1" t="s">
        <v>18</v>
      </c>
      <c r="C18" s="3">
        <v>1.0</v>
      </c>
      <c r="D18" s="4" t="s">
        <v>70</v>
      </c>
      <c r="E18" s="3">
        <v>16.0</v>
      </c>
      <c r="F18" s="4" t="s">
        <v>104</v>
      </c>
      <c r="G18" s="4" t="s">
        <v>70</v>
      </c>
      <c r="I18" s="2" t="b">
        <f t="shared" si="1"/>
        <v>0</v>
      </c>
      <c r="K18" s="3"/>
      <c r="L18" s="4"/>
      <c r="M18" s="3"/>
      <c r="N18" s="4"/>
      <c r="O18" s="4"/>
    </row>
    <row r="19">
      <c r="A19" s="1" t="s">
        <v>52</v>
      </c>
      <c r="B19" s="1" t="s">
        <v>18</v>
      </c>
      <c r="C19" s="3">
        <v>2.0</v>
      </c>
      <c r="D19" s="4" t="s">
        <v>31</v>
      </c>
      <c r="E19" s="3">
        <v>15.0</v>
      </c>
      <c r="F19" s="4" t="s">
        <v>105</v>
      </c>
      <c r="G19" s="4" t="s">
        <v>31</v>
      </c>
      <c r="I19" s="2" t="b">
        <f t="shared" si="1"/>
        <v>0</v>
      </c>
      <c r="K19" s="3"/>
      <c r="L19" s="4"/>
      <c r="M19" s="3"/>
      <c r="N19" s="4"/>
      <c r="O19" s="4"/>
    </row>
    <row r="20">
      <c r="A20" s="1" t="s">
        <v>52</v>
      </c>
      <c r="B20" s="1" t="s">
        <v>18</v>
      </c>
      <c r="C20" s="3">
        <v>3.0</v>
      </c>
      <c r="D20" s="4" t="s">
        <v>74</v>
      </c>
      <c r="E20" s="3">
        <v>14.0</v>
      </c>
      <c r="F20" s="4" t="s">
        <v>106</v>
      </c>
      <c r="G20" s="4" t="s">
        <v>106</v>
      </c>
      <c r="I20" s="2" t="b">
        <f t="shared" si="1"/>
        <v>0</v>
      </c>
      <c r="K20" s="3"/>
      <c r="L20" s="4"/>
      <c r="M20" s="3"/>
      <c r="N20" s="4"/>
      <c r="O20" s="4"/>
    </row>
    <row r="21">
      <c r="A21" s="1" t="s">
        <v>52</v>
      </c>
      <c r="B21" s="1" t="s">
        <v>18</v>
      </c>
      <c r="C21" s="3">
        <v>4.0</v>
      </c>
      <c r="D21" s="4" t="s">
        <v>53</v>
      </c>
      <c r="E21" s="3">
        <v>13.0</v>
      </c>
      <c r="F21" s="4" t="s">
        <v>107</v>
      </c>
      <c r="G21" s="4" t="s">
        <v>53</v>
      </c>
      <c r="I21" s="2" t="b">
        <f t="shared" si="1"/>
        <v>0</v>
      </c>
      <c r="K21" s="3"/>
      <c r="L21" s="4"/>
      <c r="M21" s="3"/>
      <c r="N21" s="4"/>
      <c r="O21" s="4"/>
    </row>
    <row r="22">
      <c r="A22" s="1" t="s">
        <v>52</v>
      </c>
      <c r="B22" s="1" t="s">
        <v>18</v>
      </c>
      <c r="C22" s="3">
        <v>5.0</v>
      </c>
      <c r="D22" s="4" t="s">
        <v>57</v>
      </c>
      <c r="E22" s="3">
        <v>12.0</v>
      </c>
      <c r="F22" s="4" t="s">
        <v>108</v>
      </c>
      <c r="G22" s="4" t="s">
        <v>108</v>
      </c>
      <c r="I22" s="2" t="b">
        <f t="shared" si="1"/>
        <v>0</v>
      </c>
    </row>
    <row r="23">
      <c r="A23" s="1" t="s">
        <v>52</v>
      </c>
      <c r="B23" s="1" t="s">
        <v>18</v>
      </c>
      <c r="C23" s="3">
        <v>6.0</v>
      </c>
      <c r="D23" s="4" t="s">
        <v>40</v>
      </c>
      <c r="E23" s="3">
        <v>11.0</v>
      </c>
      <c r="F23" s="4" t="s">
        <v>109</v>
      </c>
      <c r="G23" s="4" t="s">
        <v>109</v>
      </c>
      <c r="I23" s="2" t="b">
        <f t="shared" si="1"/>
        <v>0</v>
      </c>
    </row>
    <row r="24">
      <c r="A24" s="1" t="s">
        <v>52</v>
      </c>
      <c r="B24" s="1" t="s">
        <v>18</v>
      </c>
      <c r="C24" s="3">
        <v>7.0</v>
      </c>
      <c r="D24" s="4" t="s">
        <v>36</v>
      </c>
      <c r="E24" s="3">
        <v>10.0</v>
      </c>
      <c r="F24" s="4" t="s">
        <v>110</v>
      </c>
      <c r="G24" s="4" t="s">
        <v>110</v>
      </c>
      <c r="I24" s="2" t="b">
        <f t="shared" si="1"/>
        <v>0</v>
      </c>
    </row>
    <row r="25">
      <c r="A25" s="1" t="s">
        <v>52</v>
      </c>
      <c r="B25" s="1" t="s">
        <v>18</v>
      </c>
      <c r="C25" s="3">
        <v>8.0</v>
      </c>
      <c r="D25" s="4" t="s">
        <v>111</v>
      </c>
      <c r="E25" s="3">
        <v>9.0</v>
      </c>
      <c r="F25" s="4" t="s">
        <v>25</v>
      </c>
      <c r="G25" s="4" t="s">
        <v>25</v>
      </c>
      <c r="I25" s="2" t="b">
        <f t="shared" si="1"/>
        <v>0</v>
      </c>
    </row>
    <row r="26">
      <c r="A26" s="1" t="s">
        <v>69</v>
      </c>
      <c r="B26" s="1" t="s">
        <v>18</v>
      </c>
      <c r="C26" s="3">
        <v>1.0</v>
      </c>
      <c r="D26" s="4" t="s">
        <v>76</v>
      </c>
      <c r="E26" s="3">
        <v>16.0</v>
      </c>
      <c r="F26" s="4" t="s">
        <v>112</v>
      </c>
      <c r="G26" s="4" t="s">
        <v>76</v>
      </c>
      <c r="I26" s="2" t="b">
        <f t="shared" si="1"/>
        <v>0</v>
      </c>
    </row>
    <row r="27">
      <c r="A27" s="1" t="s">
        <v>69</v>
      </c>
      <c r="B27" s="1" t="s">
        <v>18</v>
      </c>
      <c r="C27" s="3">
        <v>2.0</v>
      </c>
      <c r="D27" s="4" t="s">
        <v>72</v>
      </c>
      <c r="E27" s="3">
        <v>15.0</v>
      </c>
      <c r="F27" s="4" t="s">
        <v>113</v>
      </c>
      <c r="G27" s="4" t="s">
        <v>72</v>
      </c>
      <c r="I27" s="2" t="b">
        <f t="shared" si="1"/>
        <v>0</v>
      </c>
    </row>
    <row r="28">
      <c r="A28" s="1" t="s">
        <v>69</v>
      </c>
      <c r="B28" s="1" t="s">
        <v>18</v>
      </c>
      <c r="C28" s="3">
        <v>3.0</v>
      </c>
      <c r="D28" s="4" t="s">
        <v>34</v>
      </c>
      <c r="E28" s="3">
        <v>14.0</v>
      </c>
      <c r="F28" s="4" t="s">
        <v>60</v>
      </c>
      <c r="G28" s="4" t="s">
        <v>34</v>
      </c>
      <c r="I28" s="2" t="b">
        <f t="shared" si="1"/>
        <v>0</v>
      </c>
    </row>
    <row r="29">
      <c r="A29" s="1" t="s">
        <v>69</v>
      </c>
      <c r="B29" s="1" t="s">
        <v>18</v>
      </c>
      <c r="C29" s="3">
        <v>4.0</v>
      </c>
      <c r="D29" s="4" t="s">
        <v>48</v>
      </c>
      <c r="E29" s="3">
        <v>13.0</v>
      </c>
      <c r="F29" s="4" t="s">
        <v>114</v>
      </c>
      <c r="G29" s="4" t="s">
        <v>48</v>
      </c>
      <c r="I29" s="2" t="b">
        <f t="shared" si="1"/>
        <v>0</v>
      </c>
    </row>
    <row r="30">
      <c r="A30" s="1" t="s">
        <v>69</v>
      </c>
      <c r="B30" s="1" t="s">
        <v>18</v>
      </c>
      <c r="C30" s="3">
        <v>5.0</v>
      </c>
      <c r="D30" s="4" t="s">
        <v>84</v>
      </c>
      <c r="E30" s="3">
        <v>12.0</v>
      </c>
      <c r="F30" s="4" t="s">
        <v>79</v>
      </c>
      <c r="G30" s="4" t="s">
        <v>84</v>
      </c>
      <c r="I30" s="2" t="b">
        <f t="shared" si="1"/>
        <v>0</v>
      </c>
    </row>
    <row r="31">
      <c r="A31" s="1" t="s">
        <v>69</v>
      </c>
      <c r="B31" s="1" t="s">
        <v>18</v>
      </c>
      <c r="C31" s="3">
        <v>6.0</v>
      </c>
      <c r="D31" s="4" t="s">
        <v>115</v>
      </c>
      <c r="E31" s="3">
        <v>11.0</v>
      </c>
      <c r="F31" s="4" t="s">
        <v>61</v>
      </c>
      <c r="G31" s="4" t="s">
        <v>61</v>
      </c>
      <c r="I31" s="2" t="b">
        <f t="shared" si="1"/>
        <v>0</v>
      </c>
    </row>
    <row r="32">
      <c r="A32" s="1" t="s">
        <v>69</v>
      </c>
      <c r="B32" s="1" t="s">
        <v>18</v>
      </c>
      <c r="C32" s="3">
        <v>7.0</v>
      </c>
      <c r="D32" s="4" t="s">
        <v>116</v>
      </c>
      <c r="E32" s="3">
        <v>10.0</v>
      </c>
      <c r="F32" s="4" t="s">
        <v>45</v>
      </c>
      <c r="G32" s="4" t="s">
        <v>116</v>
      </c>
      <c r="I32" s="2" t="b">
        <f t="shared" si="1"/>
        <v>0</v>
      </c>
    </row>
    <row r="33">
      <c r="A33" s="1" t="s">
        <v>69</v>
      </c>
      <c r="B33" s="1" t="s">
        <v>18</v>
      </c>
      <c r="C33" s="3">
        <v>8.0</v>
      </c>
      <c r="D33" s="4" t="s">
        <v>83</v>
      </c>
      <c r="E33" s="3">
        <v>9.0</v>
      </c>
      <c r="F33" s="4" t="s">
        <v>117</v>
      </c>
      <c r="G33" s="4" t="s">
        <v>83</v>
      </c>
      <c r="I33" s="2" t="b">
        <f t="shared" si="1"/>
        <v>0</v>
      </c>
    </row>
    <row r="34">
      <c r="A34" s="1" t="s">
        <v>17</v>
      </c>
      <c r="B34" s="1" t="s">
        <v>7</v>
      </c>
      <c r="C34" s="1">
        <v>1.0</v>
      </c>
      <c r="D34" s="1" t="s">
        <v>88</v>
      </c>
      <c r="E34" s="1">
        <v>9.0</v>
      </c>
      <c r="F34" s="1" t="s">
        <v>97</v>
      </c>
      <c r="G34" s="1" t="s">
        <v>88</v>
      </c>
      <c r="I34" s="2" t="b">
        <f t="shared" si="1"/>
        <v>0</v>
      </c>
    </row>
    <row r="35">
      <c r="A35" s="1" t="s">
        <v>17</v>
      </c>
      <c r="B35" s="1" t="s">
        <v>7</v>
      </c>
      <c r="C35" s="1">
        <v>2.0</v>
      </c>
      <c r="D35" s="1" t="s">
        <v>118</v>
      </c>
      <c r="E35" s="1">
        <v>7.0</v>
      </c>
      <c r="F35" s="1" t="s">
        <v>119</v>
      </c>
      <c r="G35" s="1" t="s">
        <v>23</v>
      </c>
      <c r="I35" s="2" t="b">
        <f t="shared" si="1"/>
        <v>0</v>
      </c>
    </row>
    <row r="36">
      <c r="A36" s="1" t="s">
        <v>17</v>
      </c>
      <c r="B36" s="1" t="s">
        <v>7</v>
      </c>
      <c r="C36" s="1">
        <v>3.0</v>
      </c>
      <c r="D36" s="1" t="s">
        <v>80</v>
      </c>
      <c r="E36" s="1">
        <v>11.0</v>
      </c>
      <c r="F36" s="1" t="s">
        <v>94</v>
      </c>
      <c r="G36" s="1" t="s">
        <v>80</v>
      </c>
      <c r="I36" s="2" t="b">
        <f t="shared" si="1"/>
        <v>0</v>
      </c>
    </row>
    <row r="37">
      <c r="A37" s="1" t="s">
        <v>17</v>
      </c>
      <c r="B37" s="1" t="s">
        <v>7</v>
      </c>
      <c r="C37" s="1">
        <v>5.0</v>
      </c>
      <c r="D37" s="1" t="s">
        <v>92</v>
      </c>
      <c r="E37" s="1">
        <v>13.0</v>
      </c>
      <c r="F37" s="1" t="s">
        <v>26</v>
      </c>
      <c r="G37" s="1" t="s">
        <v>92</v>
      </c>
      <c r="I37" s="2" t="b">
        <f t="shared" si="1"/>
        <v>0</v>
      </c>
    </row>
    <row r="38">
      <c r="A38" s="1" t="s">
        <v>35</v>
      </c>
      <c r="B38" s="1" t="s">
        <v>7</v>
      </c>
      <c r="C38" s="3">
        <v>1.0</v>
      </c>
      <c r="D38" s="4" t="s">
        <v>30</v>
      </c>
      <c r="E38" s="1">
        <v>9.0</v>
      </c>
      <c r="F38" s="1" t="s">
        <v>21</v>
      </c>
      <c r="G38" s="4" t="s">
        <v>30</v>
      </c>
      <c r="I38" s="2" t="b">
        <f t="shared" si="1"/>
        <v>0</v>
      </c>
    </row>
    <row r="39">
      <c r="A39" s="1" t="s">
        <v>35</v>
      </c>
      <c r="B39" s="1" t="s">
        <v>7</v>
      </c>
      <c r="C39" s="3">
        <v>2.0</v>
      </c>
      <c r="D39" s="4" t="s">
        <v>59</v>
      </c>
      <c r="E39" s="1">
        <v>7.0</v>
      </c>
      <c r="F39" s="1" t="s">
        <v>102</v>
      </c>
      <c r="G39" s="4" t="s">
        <v>59</v>
      </c>
      <c r="I39" s="2" t="b">
        <f t="shared" si="1"/>
        <v>0</v>
      </c>
    </row>
    <row r="40">
      <c r="A40" s="1" t="s">
        <v>35</v>
      </c>
      <c r="B40" s="1" t="s">
        <v>7</v>
      </c>
      <c r="C40" s="3">
        <v>3.0</v>
      </c>
      <c r="D40" s="4" t="s">
        <v>68</v>
      </c>
      <c r="E40" s="1">
        <v>6.0</v>
      </c>
      <c r="F40" s="1" t="s">
        <v>78</v>
      </c>
      <c r="G40" s="1" t="s">
        <v>78</v>
      </c>
      <c r="I40" s="2" t="b">
        <f t="shared" si="1"/>
        <v>0</v>
      </c>
    </row>
    <row r="41">
      <c r="A41" s="1" t="s">
        <v>35</v>
      </c>
      <c r="B41" s="1" t="s">
        <v>7</v>
      </c>
      <c r="C41" s="3">
        <v>4.0</v>
      </c>
      <c r="D41" s="4" t="s">
        <v>55</v>
      </c>
      <c r="E41" s="1">
        <v>12.0</v>
      </c>
      <c r="F41" s="1" t="s">
        <v>43</v>
      </c>
      <c r="G41" s="4" t="s">
        <v>55</v>
      </c>
      <c r="I41" s="2" t="b">
        <f t="shared" si="1"/>
        <v>0</v>
      </c>
    </row>
    <row r="42">
      <c r="A42" s="1" t="s">
        <v>52</v>
      </c>
      <c r="B42" s="1" t="s">
        <v>7</v>
      </c>
      <c r="C42" s="3">
        <v>1.0</v>
      </c>
      <c r="D42" s="4" t="s">
        <v>70</v>
      </c>
      <c r="E42" s="3">
        <v>9.0</v>
      </c>
      <c r="F42" s="4" t="s">
        <v>25</v>
      </c>
      <c r="G42" s="1" t="s">
        <v>70</v>
      </c>
      <c r="I42" s="2" t="b">
        <f t="shared" si="1"/>
        <v>0</v>
      </c>
    </row>
    <row r="43">
      <c r="A43" s="1" t="s">
        <v>52</v>
      </c>
      <c r="B43" s="1" t="s">
        <v>7</v>
      </c>
      <c r="C43" s="3">
        <v>2.0</v>
      </c>
      <c r="D43" s="4" t="s">
        <v>31</v>
      </c>
      <c r="E43" s="3">
        <v>10.0</v>
      </c>
      <c r="F43" s="4" t="s">
        <v>110</v>
      </c>
      <c r="G43" s="1" t="s">
        <v>31</v>
      </c>
      <c r="I43" s="2" t="b">
        <f t="shared" si="1"/>
        <v>0</v>
      </c>
    </row>
    <row r="44">
      <c r="A44" s="1" t="s">
        <v>52</v>
      </c>
      <c r="B44" s="1" t="s">
        <v>7</v>
      </c>
      <c r="C44" s="3">
        <v>11.0</v>
      </c>
      <c r="D44" s="4" t="s">
        <v>109</v>
      </c>
      <c r="E44" s="3">
        <v>14.0</v>
      </c>
      <c r="F44" s="4" t="s">
        <v>106</v>
      </c>
      <c r="G44" s="1" t="s">
        <v>120</v>
      </c>
      <c r="I44" s="2" t="b">
        <f t="shared" si="1"/>
        <v>0</v>
      </c>
    </row>
    <row r="45">
      <c r="A45" s="1" t="s">
        <v>52</v>
      </c>
      <c r="B45" s="1" t="s">
        <v>7</v>
      </c>
      <c r="C45" s="3">
        <v>4.0</v>
      </c>
      <c r="D45" s="4" t="s">
        <v>53</v>
      </c>
      <c r="E45" s="1">
        <v>12.0</v>
      </c>
      <c r="F45" s="1" t="s">
        <v>108</v>
      </c>
      <c r="G45" s="1" t="s">
        <v>53</v>
      </c>
      <c r="I45" s="2" t="b">
        <f t="shared" si="1"/>
        <v>0</v>
      </c>
    </row>
    <row r="46">
      <c r="A46" s="1" t="s">
        <v>69</v>
      </c>
      <c r="B46" s="1" t="s">
        <v>7</v>
      </c>
      <c r="C46" s="3">
        <v>1.0</v>
      </c>
      <c r="D46" s="4" t="s">
        <v>76</v>
      </c>
      <c r="E46" s="1">
        <v>8.0</v>
      </c>
      <c r="F46" s="1" t="s">
        <v>121</v>
      </c>
      <c r="G46" s="4" t="s">
        <v>76</v>
      </c>
      <c r="I46" s="2" t="b">
        <f t="shared" si="1"/>
        <v>0</v>
      </c>
    </row>
    <row r="47">
      <c r="A47" s="1" t="s">
        <v>69</v>
      </c>
      <c r="B47" s="1" t="s">
        <v>7</v>
      </c>
      <c r="C47" s="3">
        <v>2.0</v>
      </c>
      <c r="D47" s="4" t="s">
        <v>72</v>
      </c>
      <c r="E47" s="1">
        <v>7.0</v>
      </c>
      <c r="F47" s="1" t="s">
        <v>116</v>
      </c>
      <c r="G47" s="4" t="s">
        <v>72</v>
      </c>
      <c r="I47" s="2" t="b">
        <f t="shared" si="1"/>
        <v>0</v>
      </c>
    </row>
    <row r="48">
      <c r="A48" s="1" t="s">
        <v>69</v>
      </c>
      <c r="B48" s="1" t="s">
        <v>7</v>
      </c>
      <c r="C48" s="3">
        <v>3.0</v>
      </c>
      <c r="D48" s="4" t="s">
        <v>34</v>
      </c>
      <c r="E48" s="1">
        <v>11.0</v>
      </c>
      <c r="F48" s="1" t="s">
        <v>61</v>
      </c>
      <c r="G48" s="4" t="s">
        <v>34</v>
      </c>
      <c r="I48" s="2" t="b">
        <f t="shared" si="1"/>
        <v>0</v>
      </c>
    </row>
    <row r="49">
      <c r="A49" s="1" t="s">
        <v>69</v>
      </c>
      <c r="B49" s="1" t="s">
        <v>7</v>
      </c>
      <c r="C49" s="3">
        <v>4.0</v>
      </c>
      <c r="D49" s="4" t="s">
        <v>48</v>
      </c>
      <c r="E49" s="1">
        <v>5.0</v>
      </c>
      <c r="F49" s="1" t="s">
        <v>84</v>
      </c>
      <c r="G49" s="1" t="s">
        <v>84</v>
      </c>
      <c r="I49" s="2" t="b">
        <f t="shared" si="1"/>
        <v>0</v>
      </c>
    </row>
    <row r="50">
      <c r="A50" s="1" t="s">
        <v>17</v>
      </c>
      <c r="B50" s="1" t="s">
        <v>6</v>
      </c>
      <c r="C50" s="1">
        <v>1.0</v>
      </c>
      <c r="D50" s="1" t="s">
        <v>88</v>
      </c>
      <c r="E50" s="1">
        <v>5.0</v>
      </c>
      <c r="F50" s="1" t="s">
        <v>92</v>
      </c>
      <c r="G50" s="1" t="s">
        <v>88</v>
      </c>
      <c r="I50" s="2" t="b">
        <f t="shared" si="1"/>
        <v>0</v>
      </c>
    </row>
    <row r="51">
      <c r="A51" s="1" t="s">
        <v>17</v>
      </c>
      <c r="B51" s="1" t="s">
        <v>6</v>
      </c>
      <c r="C51" s="1">
        <v>2.0</v>
      </c>
      <c r="D51" s="1" t="s">
        <v>118</v>
      </c>
      <c r="E51" s="1">
        <v>3.0</v>
      </c>
      <c r="F51" s="1" t="s">
        <v>80</v>
      </c>
      <c r="G51" s="1" t="s">
        <v>80</v>
      </c>
      <c r="I51" s="2" t="b">
        <f t="shared" si="1"/>
        <v>0</v>
      </c>
    </row>
    <row r="52">
      <c r="A52" s="1" t="s">
        <v>35</v>
      </c>
      <c r="B52" s="1" t="s">
        <v>6</v>
      </c>
      <c r="C52" s="3">
        <v>1.0</v>
      </c>
      <c r="D52" s="4" t="s">
        <v>30</v>
      </c>
      <c r="E52" s="1">
        <v>4.0</v>
      </c>
      <c r="F52" s="1" t="s">
        <v>55</v>
      </c>
      <c r="G52" s="1" t="s">
        <v>55</v>
      </c>
      <c r="I52" s="2" t="b">
        <f t="shared" si="1"/>
        <v>0</v>
      </c>
    </row>
    <row r="53">
      <c r="A53" s="1" t="s">
        <v>35</v>
      </c>
      <c r="B53" s="1" t="s">
        <v>6</v>
      </c>
      <c r="C53" s="3">
        <v>2.0</v>
      </c>
      <c r="D53" s="4" t="s">
        <v>59</v>
      </c>
      <c r="E53" s="1">
        <v>6.0</v>
      </c>
      <c r="F53" s="1" t="s">
        <v>78</v>
      </c>
      <c r="G53" s="1" t="s">
        <v>78</v>
      </c>
      <c r="I53" s="2" t="b">
        <f t="shared" si="1"/>
        <v>0</v>
      </c>
    </row>
    <row r="54">
      <c r="A54" s="1" t="s">
        <v>52</v>
      </c>
      <c r="B54" s="1" t="s">
        <v>6</v>
      </c>
      <c r="C54" s="3">
        <v>1.0</v>
      </c>
      <c r="D54" s="4" t="s">
        <v>70</v>
      </c>
      <c r="E54" s="3">
        <v>4.0</v>
      </c>
      <c r="F54" s="4" t="s">
        <v>53</v>
      </c>
      <c r="G54" s="4" t="s">
        <v>53</v>
      </c>
      <c r="I54" s="2" t="b">
        <f t="shared" si="1"/>
        <v>0</v>
      </c>
    </row>
    <row r="55">
      <c r="A55" s="1" t="s">
        <v>52</v>
      </c>
      <c r="B55" s="1" t="s">
        <v>6</v>
      </c>
      <c r="C55" s="3">
        <v>2.0</v>
      </c>
      <c r="D55" s="4" t="s">
        <v>31</v>
      </c>
      <c r="E55" s="3">
        <v>11.0</v>
      </c>
      <c r="F55" s="4" t="s">
        <v>109</v>
      </c>
      <c r="G55" s="4" t="s">
        <v>120</v>
      </c>
      <c r="I55" s="2" t="b">
        <f t="shared" si="1"/>
        <v>0</v>
      </c>
    </row>
    <row r="56">
      <c r="A56" s="1" t="s">
        <v>69</v>
      </c>
      <c r="B56" s="1" t="s">
        <v>6</v>
      </c>
      <c r="C56" s="3">
        <v>1.0</v>
      </c>
      <c r="D56" s="4" t="s">
        <v>76</v>
      </c>
      <c r="E56" s="1">
        <v>5.0</v>
      </c>
      <c r="F56" s="1" t="s">
        <v>84</v>
      </c>
      <c r="G56" s="4" t="s">
        <v>76</v>
      </c>
      <c r="I56" s="2" t="b">
        <f t="shared" si="1"/>
        <v>0</v>
      </c>
    </row>
    <row r="57">
      <c r="A57" s="1" t="s">
        <v>69</v>
      </c>
      <c r="B57" s="1" t="s">
        <v>6</v>
      </c>
      <c r="C57" s="3">
        <v>2.0</v>
      </c>
      <c r="D57" s="4" t="s">
        <v>72</v>
      </c>
      <c r="E57" s="3">
        <v>3.0</v>
      </c>
      <c r="F57" s="4" t="s">
        <v>34</v>
      </c>
      <c r="G57" s="4" t="s">
        <v>72</v>
      </c>
      <c r="I57" s="2" t="b">
        <f t="shared" si="1"/>
        <v>0</v>
      </c>
    </row>
    <row r="58">
      <c r="A58" s="1" t="s">
        <v>17</v>
      </c>
      <c r="B58" s="1" t="s">
        <v>5</v>
      </c>
      <c r="C58" s="1">
        <v>1.0</v>
      </c>
      <c r="D58" s="1" t="s">
        <v>88</v>
      </c>
      <c r="E58" s="1">
        <v>3.0</v>
      </c>
      <c r="F58" s="1" t="s">
        <v>80</v>
      </c>
      <c r="G58" s="1" t="s">
        <v>88</v>
      </c>
      <c r="I58" s="2" t="b">
        <f t="shared" si="1"/>
        <v>0</v>
      </c>
    </row>
    <row r="59">
      <c r="A59" s="1" t="s">
        <v>35</v>
      </c>
      <c r="B59" s="1" t="s">
        <v>5</v>
      </c>
      <c r="C59" s="1">
        <v>4.0</v>
      </c>
      <c r="D59" s="1" t="s">
        <v>55</v>
      </c>
      <c r="E59" s="1">
        <v>6.0</v>
      </c>
      <c r="F59" s="1" t="s">
        <v>78</v>
      </c>
      <c r="G59" s="1" t="s">
        <v>55</v>
      </c>
      <c r="I59" s="2" t="b">
        <f t="shared" si="1"/>
        <v>0</v>
      </c>
    </row>
    <row r="60">
      <c r="A60" s="1" t="s">
        <v>52</v>
      </c>
      <c r="B60" s="1" t="s">
        <v>5</v>
      </c>
      <c r="C60" s="1">
        <v>4.0</v>
      </c>
      <c r="D60" s="1" t="s">
        <v>53</v>
      </c>
      <c r="E60" s="1">
        <v>11.0</v>
      </c>
      <c r="F60" s="1" t="s">
        <v>120</v>
      </c>
      <c r="G60" s="1" t="s">
        <v>120</v>
      </c>
      <c r="I60" s="2" t="b">
        <f t="shared" si="1"/>
        <v>0</v>
      </c>
    </row>
    <row r="61">
      <c r="A61" s="1" t="s">
        <v>69</v>
      </c>
      <c r="B61" s="1" t="s">
        <v>5</v>
      </c>
      <c r="C61" s="3">
        <v>1.0</v>
      </c>
      <c r="D61" s="4" t="s">
        <v>76</v>
      </c>
      <c r="E61" s="3">
        <v>2.0</v>
      </c>
      <c r="F61" s="4" t="s">
        <v>72</v>
      </c>
      <c r="G61" s="4" t="s">
        <v>76</v>
      </c>
      <c r="I61" s="2" t="b">
        <f t="shared" si="1"/>
        <v>0</v>
      </c>
    </row>
    <row r="62">
      <c r="A62" s="1" t="s">
        <v>4</v>
      </c>
      <c r="B62" s="1" t="s">
        <v>4</v>
      </c>
      <c r="C62" s="1">
        <v>1.0</v>
      </c>
      <c r="D62" s="1" t="s">
        <v>88</v>
      </c>
      <c r="E62" s="1">
        <v>4.0</v>
      </c>
      <c r="F62" s="1" t="s">
        <v>55</v>
      </c>
      <c r="G62" s="1" t="s">
        <v>88</v>
      </c>
      <c r="I62" s="2" t="b">
        <f t="shared" si="1"/>
        <v>0</v>
      </c>
    </row>
    <row r="63">
      <c r="A63" s="1" t="s">
        <v>4</v>
      </c>
      <c r="B63" s="1" t="s">
        <v>4</v>
      </c>
      <c r="C63" s="3">
        <v>1.0</v>
      </c>
      <c r="D63" s="4" t="s">
        <v>76</v>
      </c>
      <c r="E63" s="1">
        <v>11.0</v>
      </c>
      <c r="F63" s="1" t="s">
        <v>120</v>
      </c>
      <c r="G63" s="4" t="s">
        <v>76</v>
      </c>
      <c r="I63" s="2" t="b">
        <f t="shared" si="1"/>
        <v>0</v>
      </c>
    </row>
    <row r="64">
      <c r="A64" s="1" t="s">
        <v>4</v>
      </c>
      <c r="B64" s="1" t="s">
        <v>3</v>
      </c>
      <c r="C64" s="1">
        <v>1.0</v>
      </c>
      <c r="D64" s="1" t="s">
        <v>88</v>
      </c>
      <c r="E64" s="3">
        <v>1.0</v>
      </c>
      <c r="F64" s="4" t="s">
        <v>76</v>
      </c>
      <c r="G64" s="1" t="s">
        <v>88</v>
      </c>
      <c r="I64" s="2" t="b">
        <f t="shared" si="1"/>
        <v>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11.75"/>
    <col customWidth="1" min="3" max="3" width="8.88"/>
    <col customWidth="1" min="4" max="4" width="12.13"/>
    <col customWidth="1" min="5" max="5" width="8.5"/>
    <col customWidth="1" min="6" max="7" width="15.13"/>
    <col customWidth="1" min="8" max="8" width="10.75"/>
    <col customWidth="1" min="9" max="9" width="6.5"/>
    <col customWidth="1" min="11" max="11" width="11.75"/>
    <col customWidth="1" min="12" max="12" width="6.5"/>
    <col customWidth="1" min="13" max="13" width="5.63"/>
  </cols>
  <sheetData>
    <row r="1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K1" s="1" t="s">
        <v>9</v>
      </c>
      <c r="L1" s="1" t="s">
        <v>16</v>
      </c>
      <c r="M1" s="1" t="s">
        <v>1</v>
      </c>
    </row>
    <row r="2">
      <c r="A2" s="1" t="s">
        <v>17</v>
      </c>
      <c r="B2" s="1" t="s">
        <v>18</v>
      </c>
      <c r="C2" s="3">
        <v>1.0</v>
      </c>
      <c r="D2" s="4" t="s">
        <v>55</v>
      </c>
      <c r="E2" s="3">
        <v>16.0</v>
      </c>
      <c r="F2" s="4" t="s">
        <v>122</v>
      </c>
      <c r="G2" s="4" t="s">
        <v>55</v>
      </c>
      <c r="I2" s="2" t="b">
        <f t="shared" ref="I2:I64" si="1">G2=H2</f>
        <v>0</v>
      </c>
      <c r="K2" s="1" t="s">
        <v>18</v>
      </c>
      <c r="M2" s="2">
        <f>1*L2</f>
        <v>0</v>
      </c>
    </row>
    <row r="3">
      <c r="A3" s="1" t="s">
        <v>17</v>
      </c>
      <c r="B3" s="1" t="s">
        <v>18</v>
      </c>
      <c r="C3" s="3">
        <v>2.0</v>
      </c>
      <c r="D3" s="4" t="s">
        <v>59</v>
      </c>
      <c r="E3" s="3">
        <v>15.0</v>
      </c>
      <c r="F3" s="4" t="s">
        <v>123</v>
      </c>
      <c r="G3" s="4" t="s">
        <v>123</v>
      </c>
      <c r="I3" s="2" t="b">
        <f t="shared" si="1"/>
        <v>0</v>
      </c>
      <c r="K3" s="1" t="s">
        <v>7</v>
      </c>
      <c r="M3" s="2">
        <f>2*L3</f>
        <v>0</v>
      </c>
    </row>
    <row r="4">
      <c r="A4" s="1" t="s">
        <v>17</v>
      </c>
      <c r="B4" s="1" t="s">
        <v>18</v>
      </c>
      <c r="C4" s="3">
        <v>3.0</v>
      </c>
      <c r="D4" s="4" t="s">
        <v>68</v>
      </c>
      <c r="E4" s="3">
        <v>14.0</v>
      </c>
      <c r="F4" s="4" t="s">
        <v>124</v>
      </c>
      <c r="G4" s="4" t="s">
        <v>68</v>
      </c>
      <c r="I4" s="2" t="b">
        <f t="shared" si="1"/>
        <v>0</v>
      </c>
      <c r="K4" s="1" t="s">
        <v>6</v>
      </c>
      <c r="M4" s="2">
        <f>4*L4</f>
        <v>0</v>
      </c>
    </row>
    <row r="5">
      <c r="A5" s="1" t="s">
        <v>17</v>
      </c>
      <c r="B5" s="1" t="s">
        <v>18</v>
      </c>
      <c r="C5" s="3">
        <v>4.0</v>
      </c>
      <c r="D5" s="4" t="s">
        <v>125</v>
      </c>
      <c r="E5" s="3">
        <v>13.0</v>
      </c>
      <c r="F5" s="4" t="s">
        <v>126</v>
      </c>
      <c r="G5" s="4" t="s">
        <v>126</v>
      </c>
      <c r="I5" s="2" t="b">
        <f t="shared" si="1"/>
        <v>0</v>
      </c>
      <c r="K5" s="1" t="s">
        <v>5</v>
      </c>
      <c r="M5" s="2">
        <f>8*L5</f>
        <v>0</v>
      </c>
    </row>
    <row r="6">
      <c r="A6" s="1" t="s">
        <v>17</v>
      </c>
      <c r="B6" s="1" t="s">
        <v>18</v>
      </c>
      <c r="C6" s="3">
        <v>5.0</v>
      </c>
      <c r="D6" s="4" t="s">
        <v>92</v>
      </c>
      <c r="E6" s="3">
        <v>12.0</v>
      </c>
      <c r="F6" s="4" t="s">
        <v>101</v>
      </c>
      <c r="G6" s="4" t="s">
        <v>92</v>
      </c>
      <c r="I6" s="2" t="b">
        <f t="shared" si="1"/>
        <v>0</v>
      </c>
      <c r="K6" s="1" t="s">
        <v>4</v>
      </c>
      <c r="M6" s="2">
        <f>16*L6</f>
        <v>0</v>
      </c>
    </row>
    <row r="7">
      <c r="A7" s="1" t="s">
        <v>17</v>
      </c>
      <c r="B7" s="1" t="s">
        <v>18</v>
      </c>
      <c r="C7" s="3">
        <v>6.0</v>
      </c>
      <c r="D7" s="4" t="s">
        <v>34</v>
      </c>
      <c r="E7" s="3">
        <v>11.0</v>
      </c>
      <c r="F7" s="4" t="s">
        <v>109</v>
      </c>
      <c r="G7" s="4" t="s">
        <v>34</v>
      </c>
      <c r="I7" s="2" t="b">
        <f t="shared" si="1"/>
        <v>0</v>
      </c>
      <c r="K7" s="1" t="s">
        <v>3</v>
      </c>
      <c r="M7" s="2">
        <f>32*L7</f>
        <v>0</v>
      </c>
    </row>
    <row r="8">
      <c r="A8" s="1" t="s">
        <v>17</v>
      </c>
      <c r="B8" s="1" t="s">
        <v>18</v>
      </c>
      <c r="C8" s="3">
        <v>7.0</v>
      </c>
      <c r="D8" s="4" t="s">
        <v>46</v>
      </c>
      <c r="E8" s="3">
        <v>10.0</v>
      </c>
      <c r="F8" s="4" t="s">
        <v>83</v>
      </c>
      <c r="G8" s="4" t="s">
        <v>46</v>
      </c>
      <c r="I8" s="2" t="b">
        <f t="shared" si="1"/>
        <v>0</v>
      </c>
      <c r="L8" s="2">
        <f t="shared" ref="L8:M8" si="2">SUM(L2:L7)</f>
        <v>0</v>
      </c>
      <c r="M8" s="2">
        <f t="shared" si="2"/>
        <v>0</v>
      </c>
    </row>
    <row r="9">
      <c r="A9" s="1" t="s">
        <v>17</v>
      </c>
      <c r="B9" s="1" t="s">
        <v>18</v>
      </c>
      <c r="C9" s="3">
        <v>8.0</v>
      </c>
      <c r="D9" s="4" t="s">
        <v>42</v>
      </c>
      <c r="E9" s="3">
        <v>9.0</v>
      </c>
      <c r="F9" s="4" t="s">
        <v>127</v>
      </c>
      <c r="G9" s="4" t="s">
        <v>42</v>
      </c>
      <c r="I9" s="2" t="b">
        <f t="shared" si="1"/>
        <v>0</v>
      </c>
    </row>
    <row r="10">
      <c r="A10" s="1" t="s">
        <v>35</v>
      </c>
      <c r="B10" s="1" t="s">
        <v>18</v>
      </c>
      <c r="C10" s="3">
        <v>1.0</v>
      </c>
      <c r="D10" s="4" t="s">
        <v>76</v>
      </c>
      <c r="E10" s="3">
        <v>16.0</v>
      </c>
      <c r="F10" s="4" t="s">
        <v>128</v>
      </c>
      <c r="G10" s="4" t="s">
        <v>128</v>
      </c>
      <c r="I10" s="2" t="b">
        <f t="shared" si="1"/>
        <v>0</v>
      </c>
    </row>
    <row r="11">
      <c r="A11" s="1" t="s">
        <v>35</v>
      </c>
      <c r="B11" s="1" t="s">
        <v>18</v>
      </c>
      <c r="C11" s="3">
        <v>2.0</v>
      </c>
      <c r="D11" s="4" t="s">
        <v>31</v>
      </c>
      <c r="E11" s="3">
        <v>15.0</v>
      </c>
      <c r="F11" s="4" t="s">
        <v>107</v>
      </c>
      <c r="G11" s="4" t="s">
        <v>31</v>
      </c>
      <c r="I11" s="2" t="b">
        <f t="shared" si="1"/>
        <v>0</v>
      </c>
    </row>
    <row r="12">
      <c r="A12" s="1" t="s">
        <v>35</v>
      </c>
      <c r="B12" s="1" t="s">
        <v>18</v>
      </c>
      <c r="C12" s="3">
        <v>3.0</v>
      </c>
      <c r="D12" s="4" t="s">
        <v>129</v>
      </c>
      <c r="E12" s="3">
        <v>14.0</v>
      </c>
      <c r="F12" s="4" t="s">
        <v>130</v>
      </c>
      <c r="G12" s="4" t="s">
        <v>129</v>
      </c>
      <c r="I12" s="2" t="b">
        <f t="shared" si="1"/>
        <v>0</v>
      </c>
    </row>
    <row r="13">
      <c r="A13" s="1" t="s">
        <v>35</v>
      </c>
      <c r="B13" s="1" t="s">
        <v>18</v>
      </c>
      <c r="C13" s="3">
        <v>4.0</v>
      </c>
      <c r="D13" s="4" t="s">
        <v>72</v>
      </c>
      <c r="E13" s="3">
        <v>13.0</v>
      </c>
      <c r="F13" s="4" t="s">
        <v>131</v>
      </c>
      <c r="G13" s="4" t="s">
        <v>72</v>
      </c>
      <c r="I13" s="2" t="b">
        <f t="shared" si="1"/>
        <v>0</v>
      </c>
    </row>
    <row r="14">
      <c r="A14" s="1" t="s">
        <v>35</v>
      </c>
      <c r="B14" s="1" t="s">
        <v>18</v>
      </c>
      <c r="C14" s="3">
        <v>5.0</v>
      </c>
      <c r="D14" s="4" t="s">
        <v>53</v>
      </c>
      <c r="E14" s="3">
        <v>12.0</v>
      </c>
      <c r="F14" s="4" t="s">
        <v>132</v>
      </c>
      <c r="G14" s="4" t="s">
        <v>53</v>
      </c>
      <c r="I14" s="2" t="b">
        <f t="shared" si="1"/>
        <v>0</v>
      </c>
    </row>
    <row r="15">
      <c r="A15" s="1" t="s">
        <v>35</v>
      </c>
      <c r="B15" s="1" t="s">
        <v>18</v>
      </c>
      <c r="C15" s="3">
        <v>6.0</v>
      </c>
      <c r="D15" s="4" t="s">
        <v>74</v>
      </c>
      <c r="E15" s="3">
        <v>11.0</v>
      </c>
      <c r="F15" s="4" t="s">
        <v>133</v>
      </c>
      <c r="G15" s="4" t="s">
        <v>74</v>
      </c>
      <c r="I15" s="2" t="b">
        <f t="shared" si="1"/>
        <v>0</v>
      </c>
    </row>
    <row r="16">
      <c r="A16" s="1" t="s">
        <v>35</v>
      </c>
      <c r="B16" s="1" t="s">
        <v>18</v>
      </c>
      <c r="C16" s="3">
        <v>7.0</v>
      </c>
      <c r="D16" s="4" t="s">
        <v>86</v>
      </c>
      <c r="E16" s="3">
        <v>10.0</v>
      </c>
      <c r="F16" s="4" t="s">
        <v>134</v>
      </c>
      <c r="G16" s="4" t="s">
        <v>86</v>
      </c>
      <c r="I16" s="2" t="b">
        <f t="shared" si="1"/>
        <v>0</v>
      </c>
    </row>
    <row r="17">
      <c r="A17" s="1" t="s">
        <v>35</v>
      </c>
      <c r="B17" s="1" t="s">
        <v>18</v>
      </c>
      <c r="C17" s="3">
        <v>8.0</v>
      </c>
      <c r="D17" s="4" t="s">
        <v>44</v>
      </c>
      <c r="E17" s="3">
        <v>9.0</v>
      </c>
      <c r="F17" s="4" t="s">
        <v>135</v>
      </c>
      <c r="G17" s="4" t="s">
        <v>135</v>
      </c>
      <c r="I17" s="2" t="b">
        <f t="shared" si="1"/>
        <v>0</v>
      </c>
    </row>
    <row r="18">
      <c r="A18" s="1" t="s">
        <v>52</v>
      </c>
      <c r="B18" s="1" t="s">
        <v>18</v>
      </c>
      <c r="C18" s="3">
        <v>1.0</v>
      </c>
      <c r="D18" s="4" t="s">
        <v>70</v>
      </c>
      <c r="E18" s="3">
        <v>16.0</v>
      </c>
      <c r="F18" s="4" t="s">
        <v>136</v>
      </c>
      <c r="G18" s="4" t="s">
        <v>70</v>
      </c>
      <c r="I18" s="2" t="b">
        <f t="shared" si="1"/>
        <v>0</v>
      </c>
    </row>
    <row r="19">
      <c r="A19" s="1" t="s">
        <v>52</v>
      </c>
      <c r="B19" s="1" t="s">
        <v>18</v>
      </c>
      <c r="C19" s="3">
        <v>2.0</v>
      </c>
      <c r="D19" s="4" t="s">
        <v>116</v>
      </c>
      <c r="E19" s="3">
        <v>15.0</v>
      </c>
      <c r="F19" s="4" t="s">
        <v>100</v>
      </c>
      <c r="G19" s="4" t="s">
        <v>116</v>
      </c>
      <c r="I19" s="2" t="b">
        <f t="shared" si="1"/>
        <v>0</v>
      </c>
    </row>
    <row r="20">
      <c r="A20" s="1" t="s">
        <v>52</v>
      </c>
      <c r="B20" s="1" t="s">
        <v>18</v>
      </c>
      <c r="C20" s="3">
        <v>3.0</v>
      </c>
      <c r="D20" s="4" t="s">
        <v>81</v>
      </c>
      <c r="E20" s="3">
        <v>14.0</v>
      </c>
      <c r="F20" s="4" t="s">
        <v>137</v>
      </c>
      <c r="G20" s="4" t="s">
        <v>81</v>
      </c>
      <c r="I20" s="2" t="b">
        <f t="shared" si="1"/>
        <v>0</v>
      </c>
    </row>
    <row r="21">
      <c r="A21" s="1" t="s">
        <v>52</v>
      </c>
      <c r="B21" s="1" t="s">
        <v>18</v>
      </c>
      <c r="C21" s="3">
        <v>4.0</v>
      </c>
      <c r="D21" s="4" t="s">
        <v>138</v>
      </c>
      <c r="E21" s="3">
        <v>13.0</v>
      </c>
      <c r="F21" s="4" t="s">
        <v>139</v>
      </c>
      <c r="G21" s="4" t="s">
        <v>138</v>
      </c>
      <c r="I21" s="2" t="b">
        <f t="shared" si="1"/>
        <v>0</v>
      </c>
    </row>
    <row r="22">
      <c r="A22" s="1" t="s">
        <v>52</v>
      </c>
      <c r="B22" s="1" t="s">
        <v>18</v>
      </c>
      <c r="C22" s="3">
        <v>5.0</v>
      </c>
      <c r="D22" s="4" t="s">
        <v>140</v>
      </c>
      <c r="E22" s="3">
        <v>12.0</v>
      </c>
      <c r="F22" s="4" t="s">
        <v>47</v>
      </c>
      <c r="G22" s="4" t="s">
        <v>140</v>
      </c>
      <c r="I22" s="2" t="b">
        <f t="shared" si="1"/>
        <v>0</v>
      </c>
    </row>
    <row r="23">
      <c r="A23" s="1" t="s">
        <v>52</v>
      </c>
      <c r="B23" s="1" t="s">
        <v>18</v>
      </c>
      <c r="C23" s="3">
        <v>6.0</v>
      </c>
      <c r="D23" s="4" t="s">
        <v>118</v>
      </c>
      <c r="E23" s="3">
        <v>11.0</v>
      </c>
      <c r="F23" s="4" t="s">
        <v>141</v>
      </c>
      <c r="G23" s="4" t="s">
        <v>141</v>
      </c>
      <c r="I23" s="2" t="b">
        <f t="shared" si="1"/>
        <v>0</v>
      </c>
    </row>
    <row r="24">
      <c r="A24" s="1" t="s">
        <v>52</v>
      </c>
      <c r="B24" s="1" t="s">
        <v>18</v>
      </c>
      <c r="C24" s="3">
        <v>7.0</v>
      </c>
      <c r="D24" s="4" t="s">
        <v>25</v>
      </c>
      <c r="E24" s="3">
        <v>10.0</v>
      </c>
      <c r="F24" s="4" t="s">
        <v>142</v>
      </c>
      <c r="G24" s="4" t="s">
        <v>142</v>
      </c>
      <c r="I24" s="2" t="b">
        <f t="shared" si="1"/>
        <v>0</v>
      </c>
    </row>
    <row r="25">
      <c r="A25" s="1" t="s">
        <v>52</v>
      </c>
      <c r="B25" s="1" t="s">
        <v>18</v>
      </c>
      <c r="C25" s="3">
        <v>8.0</v>
      </c>
      <c r="D25" s="4" t="s">
        <v>143</v>
      </c>
      <c r="E25" s="3">
        <v>9.0</v>
      </c>
      <c r="F25" s="4" t="s">
        <v>19</v>
      </c>
      <c r="G25" s="4" t="s">
        <v>19</v>
      </c>
      <c r="I25" s="2" t="b">
        <f t="shared" si="1"/>
        <v>0</v>
      </c>
    </row>
    <row r="26">
      <c r="A26" s="1" t="s">
        <v>69</v>
      </c>
      <c r="B26" s="1" t="s">
        <v>18</v>
      </c>
      <c r="C26" s="3">
        <v>1.0</v>
      </c>
      <c r="D26" s="4" t="s">
        <v>48</v>
      </c>
      <c r="E26" s="3">
        <v>16.0</v>
      </c>
      <c r="F26" s="4" t="s">
        <v>144</v>
      </c>
      <c r="G26" s="4" t="s">
        <v>48</v>
      </c>
      <c r="I26" s="2" t="b">
        <f t="shared" si="1"/>
        <v>0</v>
      </c>
    </row>
    <row r="27">
      <c r="A27" s="1" t="s">
        <v>69</v>
      </c>
      <c r="B27" s="1" t="s">
        <v>18</v>
      </c>
      <c r="C27" s="3">
        <v>2.0</v>
      </c>
      <c r="D27" s="4" t="s">
        <v>82</v>
      </c>
      <c r="E27" s="3">
        <v>15.0</v>
      </c>
      <c r="F27" s="4" t="s">
        <v>145</v>
      </c>
      <c r="G27" s="4" t="s">
        <v>82</v>
      </c>
      <c r="I27" s="2" t="b">
        <f t="shared" si="1"/>
        <v>0</v>
      </c>
    </row>
    <row r="28">
      <c r="A28" s="1" t="s">
        <v>69</v>
      </c>
      <c r="B28" s="1" t="s">
        <v>18</v>
      </c>
      <c r="C28" s="3">
        <v>3.0</v>
      </c>
      <c r="D28" s="4" t="s">
        <v>84</v>
      </c>
      <c r="E28" s="3">
        <v>14.0</v>
      </c>
      <c r="F28" s="4" t="s">
        <v>43</v>
      </c>
      <c r="G28" s="4" t="s">
        <v>84</v>
      </c>
      <c r="I28" s="2" t="b">
        <f t="shared" si="1"/>
        <v>0</v>
      </c>
    </row>
    <row r="29">
      <c r="A29" s="1" t="s">
        <v>69</v>
      </c>
      <c r="B29" s="1" t="s">
        <v>18</v>
      </c>
      <c r="C29" s="3">
        <v>4.0</v>
      </c>
      <c r="D29" s="4" t="s">
        <v>88</v>
      </c>
      <c r="E29" s="3">
        <v>13.0</v>
      </c>
      <c r="F29" s="4" t="s">
        <v>146</v>
      </c>
      <c r="G29" s="4" t="s">
        <v>88</v>
      </c>
      <c r="I29" s="2" t="b">
        <f t="shared" si="1"/>
        <v>0</v>
      </c>
    </row>
    <row r="30">
      <c r="A30" s="1" t="s">
        <v>69</v>
      </c>
      <c r="B30" s="1" t="s">
        <v>18</v>
      </c>
      <c r="C30" s="3">
        <v>5.0</v>
      </c>
      <c r="D30" s="4" t="s">
        <v>65</v>
      </c>
      <c r="E30" s="3">
        <v>12.0</v>
      </c>
      <c r="F30" s="4" t="s">
        <v>64</v>
      </c>
      <c r="G30" s="4" t="s">
        <v>65</v>
      </c>
      <c r="I30" s="2" t="b">
        <f t="shared" si="1"/>
        <v>0</v>
      </c>
    </row>
    <row r="31">
      <c r="A31" s="1" t="s">
        <v>69</v>
      </c>
      <c r="B31" s="1" t="s">
        <v>18</v>
      </c>
      <c r="C31" s="3">
        <v>6.0</v>
      </c>
      <c r="D31" s="4" t="s">
        <v>117</v>
      </c>
      <c r="E31" s="3">
        <v>11.0</v>
      </c>
      <c r="F31" s="4" t="s">
        <v>147</v>
      </c>
      <c r="G31" s="4" t="s">
        <v>117</v>
      </c>
      <c r="I31" s="2" t="b">
        <f t="shared" si="1"/>
        <v>0</v>
      </c>
    </row>
    <row r="32">
      <c r="A32" s="1" t="s">
        <v>69</v>
      </c>
      <c r="B32" s="1" t="s">
        <v>18</v>
      </c>
      <c r="C32" s="3">
        <v>7.0</v>
      </c>
      <c r="D32" s="4" t="s">
        <v>97</v>
      </c>
      <c r="E32" s="3">
        <v>10.0</v>
      </c>
      <c r="F32" s="4" t="s">
        <v>148</v>
      </c>
      <c r="G32" s="4" t="s">
        <v>97</v>
      </c>
      <c r="I32" s="2" t="b">
        <f t="shared" si="1"/>
        <v>0</v>
      </c>
    </row>
    <row r="33">
      <c r="A33" s="1" t="s">
        <v>69</v>
      </c>
      <c r="B33" s="1" t="s">
        <v>18</v>
      </c>
      <c r="C33" s="3">
        <v>8.0</v>
      </c>
      <c r="D33" s="4" t="s">
        <v>49</v>
      </c>
      <c r="E33" s="3">
        <v>9.0</v>
      </c>
      <c r="F33" s="4" t="s">
        <v>80</v>
      </c>
      <c r="G33" s="4" t="s">
        <v>49</v>
      </c>
      <c r="I33" s="2" t="b">
        <f t="shared" si="1"/>
        <v>0</v>
      </c>
    </row>
    <row r="34">
      <c r="A34" s="1" t="s">
        <v>17</v>
      </c>
      <c r="B34" s="1" t="s">
        <v>7</v>
      </c>
      <c r="C34" s="1">
        <v>1.0</v>
      </c>
      <c r="D34" s="1" t="s">
        <v>55</v>
      </c>
      <c r="E34" s="1">
        <v>8.0</v>
      </c>
      <c r="F34" s="1" t="s">
        <v>42</v>
      </c>
      <c r="G34" s="1" t="s">
        <v>55</v>
      </c>
      <c r="I34" s="2" t="b">
        <f t="shared" si="1"/>
        <v>0</v>
      </c>
    </row>
    <row r="35">
      <c r="A35" s="1" t="s">
        <v>17</v>
      </c>
      <c r="B35" s="1" t="s">
        <v>7</v>
      </c>
      <c r="C35" s="1">
        <v>7.0</v>
      </c>
      <c r="D35" s="1" t="s">
        <v>46</v>
      </c>
      <c r="E35" s="1">
        <v>15.0</v>
      </c>
      <c r="F35" s="1" t="s">
        <v>123</v>
      </c>
      <c r="G35" s="1" t="s">
        <v>123</v>
      </c>
      <c r="I35" s="2" t="b">
        <f t="shared" si="1"/>
        <v>0</v>
      </c>
    </row>
    <row r="36">
      <c r="A36" s="1" t="s">
        <v>17</v>
      </c>
      <c r="B36" s="1" t="s">
        <v>7</v>
      </c>
      <c r="C36" s="1">
        <v>3.0</v>
      </c>
      <c r="D36" s="1" t="s">
        <v>68</v>
      </c>
      <c r="E36" s="1">
        <v>6.0</v>
      </c>
      <c r="F36" s="1" t="s">
        <v>34</v>
      </c>
      <c r="G36" s="1" t="s">
        <v>34</v>
      </c>
      <c r="I36" s="2" t="b">
        <f t="shared" si="1"/>
        <v>0</v>
      </c>
    </row>
    <row r="37">
      <c r="A37" s="1" t="s">
        <v>17</v>
      </c>
      <c r="B37" s="1" t="s">
        <v>7</v>
      </c>
      <c r="C37" s="1">
        <v>5.0</v>
      </c>
      <c r="D37" s="1" t="s">
        <v>92</v>
      </c>
      <c r="E37" s="1">
        <v>13.0</v>
      </c>
      <c r="F37" s="1" t="s">
        <v>126</v>
      </c>
      <c r="G37" s="1" t="s">
        <v>92</v>
      </c>
      <c r="I37" s="2" t="b">
        <f t="shared" si="1"/>
        <v>0</v>
      </c>
    </row>
    <row r="38">
      <c r="A38" s="1" t="s">
        <v>35</v>
      </c>
      <c r="B38" s="1" t="s">
        <v>7</v>
      </c>
      <c r="C38" s="3">
        <v>9.0</v>
      </c>
      <c r="D38" s="4" t="s">
        <v>135</v>
      </c>
      <c r="E38" s="1">
        <v>16.0</v>
      </c>
      <c r="F38" s="1" t="s">
        <v>128</v>
      </c>
      <c r="G38" s="4" t="s">
        <v>135</v>
      </c>
      <c r="I38" s="2" t="b">
        <f t="shared" si="1"/>
        <v>0</v>
      </c>
    </row>
    <row r="39">
      <c r="A39" s="1" t="s">
        <v>35</v>
      </c>
      <c r="B39" s="1" t="s">
        <v>7</v>
      </c>
      <c r="C39" s="3">
        <v>2.0</v>
      </c>
      <c r="D39" s="4" t="s">
        <v>31</v>
      </c>
      <c r="E39" s="1">
        <v>7.0</v>
      </c>
      <c r="F39" s="1" t="s">
        <v>86</v>
      </c>
      <c r="G39" s="1" t="s">
        <v>86</v>
      </c>
      <c r="I39" s="2" t="b">
        <f t="shared" si="1"/>
        <v>0</v>
      </c>
    </row>
    <row r="40">
      <c r="A40" s="1" t="s">
        <v>35</v>
      </c>
      <c r="B40" s="1" t="s">
        <v>7</v>
      </c>
      <c r="C40" s="3">
        <v>3.0</v>
      </c>
      <c r="D40" s="4" t="s">
        <v>129</v>
      </c>
      <c r="E40" s="3">
        <v>6.0</v>
      </c>
      <c r="F40" s="4" t="s">
        <v>74</v>
      </c>
      <c r="G40" s="4" t="s">
        <v>129</v>
      </c>
      <c r="I40" s="2" t="b">
        <f t="shared" si="1"/>
        <v>0</v>
      </c>
    </row>
    <row r="41">
      <c r="A41" s="1" t="s">
        <v>35</v>
      </c>
      <c r="B41" s="1" t="s">
        <v>7</v>
      </c>
      <c r="C41" s="3">
        <v>4.0</v>
      </c>
      <c r="D41" s="4" t="s">
        <v>72</v>
      </c>
      <c r="E41" s="3">
        <v>5.0</v>
      </c>
      <c r="F41" s="4" t="s">
        <v>53</v>
      </c>
      <c r="G41" s="4" t="s">
        <v>72</v>
      </c>
      <c r="I41" s="2" t="b">
        <f t="shared" si="1"/>
        <v>0</v>
      </c>
    </row>
    <row r="42">
      <c r="A42" s="1" t="s">
        <v>52</v>
      </c>
      <c r="B42" s="1" t="s">
        <v>7</v>
      </c>
      <c r="C42" s="3">
        <v>1.0</v>
      </c>
      <c r="D42" s="4" t="s">
        <v>70</v>
      </c>
      <c r="E42" s="3">
        <v>9.0</v>
      </c>
      <c r="F42" s="4" t="s">
        <v>19</v>
      </c>
      <c r="G42" s="4" t="s">
        <v>70</v>
      </c>
      <c r="I42" s="2" t="b">
        <f t="shared" si="1"/>
        <v>0</v>
      </c>
    </row>
    <row r="43">
      <c r="A43" s="1" t="s">
        <v>52</v>
      </c>
      <c r="B43" s="1" t="s">
        <v>7</v>
      </c>
      <c r="C43" s="3">
        <v>2.0</v>
      </c>
      <c r="D43" s="4" t="s">
        <v>116</v>
      </c>
      <c r="E43" s="3">
        <v>10.0</v>
      </c>
      <c r="F43" s="4" t="s">
        <v>142</v>
      </c>
      <c r="G43" s="4" t="s">
        <v>116</v>
      </c>
      <c r="I43" s="2" t="b">
        <f t="shared" si="1"/>
        <v>0</v>
      </c>
    </row>
    <row r="44">
      <c r="A44" s="1" t="s">
        <v>52</v>
      </c>
      <c r="B44" s="1" t="s">
        <v>7</v>
      </c>
      <c r="C44" s="3">
        <v>3.0</v>
      </c>
      <c r="D44" s="4" t="s">
        <v>81</v>
      </c>
      <c r="E44" s="3">
        <v>11.0</v>
      </c>
      <c r="F44" s="4" t="s">
        <v>141</v>
      </c>
      <c r="G44" s="4" t="s">
        <v>81</v>
      </c>
      <c r="I44" s="2" t="b">
        <f t="shared" si="1"/>
        <v>0</v>
      </c>
    </row>
    <row r="45">
      <c r="A45" s="1" t="s">
        <v>52</v>
      </c>
      <c r="B45" s="1" t="s">
        <v>7</v>
      </c>
      <c r="C45" s="3">
        <v>4.0</v>
      </c>
      <c r="D45" s="4" t="s">
        <v>138</v>
      </c>
      <c r="E45" s="3">
        <v>5.0</v>
      </c>
      <c r="F45" s="4" t="s">
        <v>140</v>
      </c>
      <c r="G45" s="4" t="s">
        <v>140</v>
      </c>
      <c r="I45" s="2" t="b">
        <f t="shared" si="1"/>
        <v>0</v>
      </c>
    </row>
    <row r="46">
      <c r="A46" s="1" t="s">
        <v>69</v>
      </c>
      <c r="B46" s="1" t="s">
        <v>7</v>
      </c>
      <c r="C46" s="3">
        <v>1.0</v>
      </c>
      <c r="D46" s="4" t="s">
        <v>48</v>
      </c>
      <c r="E46" s="3">
        <v>8.0</v>
      </c>
      <c r="F46" s="4" t="s">
        <v>49</v>
      </c>
      <c r="G46" s="4" t="s">
        <v>49</v>
      </c>
      <c r="I46" s="2" t="b">
        <f t="shared" si="1"/>
        <v>0</v>
      </c>
    </row>
    <row r="47">
      <c r="A47" s="1" t="s">
        <v>69</v>
      </c>
      <c r="B47" s="1" t="s">
        <v>7</v>
      </c>
      <c r="C47" s="3">
        <v>2.0</v>
      </c>
      <c r="D47" s="4" t="s">
        <v>82</v>
      </c>
      <c r="E47" s="3">
        <v>7.0</v>
      </c>
      <c r="F47" s="4" t="s">
        <v>97</v>
      </c>
      <c r="G47" s="4" t="s">
        <v>82</v>
      </c>
      <c r="I47" s="2" t="b">
        <f t="shared" si="1"/>
        <v>0</v>
      </c>
    </row>
    <row r="48">
      <c r="A48" s="1" t="s">
        <v>69</v>
      </c>
      <c r="B48" s="1" t="s">
        <v>7</v>
      </c>
      <c r="C48" s="3">
        <v>3.0</v>
      </c>
      <c r="D48" s="4" t="s">
        <v>84</v>
      </c>
      <c r="E48" s="1">
        <v>6.0</v>
      </c>
      <c r="F48" s="1" t="s">
        <v>117</v>
      </c>
      <c r="G48" s="4" t="s">
        <v>84</v>
      </c>
      <c r="I48" s="2" t="b">
        <f t="shared" si="1"/>
        <v>0</v>
      </c>
    </row>
    <row r="49">
      <c r="A49" s="1" t="s">
        <v>69</v>
      </c>
      <c r="B49" s="1" t="s">
        <v>7</v>
      </c>
      <c r="C49" s="3">
        <v>4.0</v>
      </c>
      <c r="D49" s="4" t="s">
        <v>88</v>
      </c>
      <c r="E49" s="1">
        <v>5.0</v>
      </c>
      <c r="F49" s="1" t="s">
        <v>65</v>
      </c>
      <c r="G49" s="4" t="s">
        <v>88</v>
      </c>
      <c r="I49" s="2" t="b">
        <f t="shared" si="1"/>
        <v>0</v>
      </c>
    </row>
    <row r="50">
      <c r="A50" s="1" t="s">
        <v>17</v>
      </c>
      <c r="B50" s="1" t="s">
        <v>6</v>
      </c>
      <c r="C50" s="1">
        <v>1.0</v>
      </c>
      <c r="D50" s="1" t="s">
        <v>55</v>
      </c>
      <c r="E50" s="1">
        <v>5.0</v>
      </c>
      <c r="F50" s="1" t="s">
        <v>149</v>
      </c>
      <c r="G50" s="1" t="s">
        <v>149</v>
      </c>
      <c r="I50" s="2" t="b">
        <f t="shared" si="1"/>
        <v>0</v>
      </c>
    </row>
    <row r="51">
      <c r="A51" s="1" t="s">
        <v>17</v>
      </c>
      <c r="B51" s="1" t="s">
        <v>6</v>
      </c>
      <c r="C51" s="1">
        <v>6.0</v>
      </c>
      <c r="D51" s="1" t="s">
        <v>34</v>
      </c>
      <c r="E51" s="1">
        <v>15.0</v>
      </c>
      <c r="F51" s="1" t="s">
        <v>123</v>
      </c>
      <c r="G51" s="1" t="s">
        <v>34</v>
      </c>
      <c r="I51" s="2" t="b">
        <f t="shared" si="1"/>
        <v>0</v>
      </c>
    </row>
    <row r="52">
      <c r="A52" s="1" t="s">
        <v>35</v>
      </c>
      <c r="B52" s="1" t="s">
        <v>6</v>
      </c>
      <c r="C52" s="3">
        <v>3.0</v>
      </c>
      <c r="D52" s="4" t="s">
        <v>129</v>
      </c>
      <c r="E52" s="1">
        <v>7.0</v>
      </c>
      <c r="F52" s="1" t="s">
        <v>86</v>
      </c>
      <c r="G52" s="4" t="s">
        <v>129</v>
      </c>
      <c r="I52" s="2" t="b">
        <f t="shared" si="1"/>
        <v>0</v>
      </c>
    </row>
    <row r="53">
      <c r="A53" s="1" t="s">
        <v>35</v>
      </c>
      <c r="B53" s="1" t="s">
        <v>6</v>
      </c>
      <c r="C53" s="3">
        <v>4.0</v>
      </c>
      <c r="D53" s="4" t="s">
        <v>72</v>
      </c>
      <c r="E53" s="3">
        <v>9.0</v>
      </c>
      <c r="F53" s="4" t="s">
        <v>135</v>
      </c>
      <c r="G53" s="4" t="s">
        <v>135</v>
      </c>
      <c r="I53" s="2" t="b">
        <f t="shared" si="1"/>
        <v>0</v>
      </c>
    </row>
    <row r="54">
      <c r="A54" s="1" t="s">
        <v>52</v>
      </c>
      <c r="B54" s="1" t="s">
        <v>6</v>
      </c>
      <c r="C54" s="3">
        <v>1.0</v>
      </c>
      <c r="D54" s="4" t="s">
        <v>70</v>
      </c>
      <c r="E54" s="3">
        <v>5.0</v>
      </c>
      <c r="F54" s="4" t="s">
        <v>140</v>
      </c>
      <c r="G54" s="4" t="s">
        <v>140</v>
      </c>
      <c r="I54" s="2" t="b">
        <f t="shared" si="1"/>
        <v>0</v>
      </c>
    </row>
    <row r="55">
      <c r="A55" s="1" t="s">
        <v>52</v>
      </c>
      <c r="B55" s="1" t="s">
        <v>6</v>
      </c>
      <c r="C55" s="3">
        <v>2.0</v>
      </c>
      <c r="D55" s="4" t="s">
        <v>116</v>
      </c>
      <c r="E55" s="3">
        <v>3.0</v>
      </c>
      <c r="F55" s="4" t="s">
        <v>81</v>
      </c>
      <c r="G55" s="4" t="s">
        <v>116</v>
      </c>
      <c r="I55" s="2" t="b">
        <f t="shared" si="1"/>
        <v>0</v>
      </c>
    </row>
    <row r="56">
      <c r="A56" s="1" t="s">
        <v>69</v>
      </c>
      <c r="B56" s="1" t="s">
        <v>6</v>
      </c>
      <c r="C56" s="1">
        <v>4.0</v>
      </c>
      <c r="D56" s="1" t="s">
        <v>88</v>
      </c>
      <c r="E56" s="1">
        <v>8.0</v>
      </c>
      <c r="F56" s="1" t="s">
        <v>49</v>
      </c>
      <c r="G56" s="1" t="s">
        <v>88</v>
      </c>
      <c r="I56" s="2" t="b">
        <f t="shared" si="1"/>
        <v>0</v>
      </c>
    </row>
    <row r="57">
      <c r="A57" s="1" t="s">
        <v>69</v>
      </c>
      <c r="B57" s="1" t="s">
        <v>6</v>
      </c>
      <c r="C57" s="1">
        <v>2.0</v>
      </c>
      <c r="D57" s="1" t="s">
        <v>82</v>
      </c>
      <c r="E57" s="1">
        <v>3.0</v>
      </c>
      <c r="F57" s="1" t="s">
        <v>84</v>
      </c>
      <c r="G57" s="1" t="s">
        <v>84</v>
      </c>
      <c r="I57" s="2" t="b">
        <f t="shared" si="1"/>
        <v>0</v>
      </c>
    </row>
    <row r="58">
      <c r="A58" s="1" t="s">
        <v>17</v>
      </c>
      <c r="B58" s="1" t="s">
        <v>5</v>
      </c>
      <c r="C58" s="1">
        <v>5.0</v>
      </c>
      <c r="D58" s="1" t="s">
        <v>149</v>
      </c>
      <c r="E58" s="1">
        <v>6.0</v>
      </c>
      <c r="F58" s="1" t="s">
        <v>34</v>
      </c>
      <c r="G58" s="1" t="s">
        <v>149</v>
      </c>
      <c r="I58" s="2" t="b">
        <f t="shared" si="1"/>
        <v>0</v>
      </c>
    </row>
    <row r="59">
      <c r="A59" s="1" t="s">
        <v>35</v>
      </c>
      <c r="B59" s="1" t="s">
        <v>5</v>
      </c>
      <c r="C59" s="5">
        <v>3.0</v>
      </c>
      <c r="D59" s="6" t="s">
        <v>129</v>
      </c>
      <c r="E59" s="3">
        <v>9.0</v>
      </c>
      <c r="F59" s="4" t="s">
        <v>135</v>
      </c>
      <c r="G59" s="4" t="s">
        <v>135</v>
      </c>
      <c r="I59" s="2" t="b">
        <f t="shared" si="1"/>
        <v>0</v>
      </c>
    </row>
    <row r="60">
      <c r="A60" s="1" t="s">
        <v>52</v>
      </c>
      <c r="B60" s="1" t="s">
        <v>5</v>
      </c>
      <c r="C60" s="3">
        <v>2.0</v>
      </c>
      <c r="D60" s="4" t="s">
        <v>116</v>
      </c>
      <c r="E60" s="3">
        <v>5.0</v>
      </c>
      <c r="F60" s="4" t="s">
        <v>140</v>
      </c>
      <c r="G60" s="4" t="s">
        <v>140</v>
      </c>
      <c r="I60" s="2" t="b">
        <f t="shared" si="1"/>
        <v>0</v>
      </c>
    </row>
    <row r="61">
      <c r="A61" s="1" t="s">
        <v>69</v>
      </c>
      <c r="B61" s="1" t="s">
        <v>5</v>
      </c>
      <c r="C61" s="1">
        <v>3.0</v>
      </c>
      <c r="D61" s="1" t="s">
        <v>84</v>
      </c>
      <c r="E61" s="1">
        <v>4.0</v>
      </c>
      <c r="F61" s="1" t="s">
        <v>88</v>
      </c>
      <c r="G61" s="1" t="s">
        <v>88</v>
      </c>
      <c r="I61" s="2" t="b">
        <f t="shared" si="1"/>
        <v>0</v>
      </c>
    </row>
    <row r="62">
      <c r="A62" s="1" t="s">
        <v>4</v>
      </c>
      <c r="B62" s="1" t="s">
        <v>4</v>
      </c>
      <c r="C62" s="1">
        <v>5.0</v>
      </c>
      <c r="D62" s="1" t="s">
        <v>149</v>
      </c>
      <c r="E62" s="1">
        <v>9.0</v>
      </c>
      <c r="F62" s="1" t="s">
        <v>135</v>
      </c>
      <c r="G62" s="1" t="s">
        <v>149</v>
      </c>
      <c r="I62" s="2" t="b">
        <f t="shared" si="1"/>
        <v>0</v>
      </c>
    </row>
    <row r="63">
      <c r="A63" s="1" t="s">
        <v>4</v>
      </c>
      <c r="B63" s="1" t="s">
        <v>4</v>
      </c>
      <c r="C63" s="1">
        <v>4.0</v>
      </c>
      <c r="D63" s="1" t="s">
        <v>88</v>
      </c>
      <c r="E63" s="1">
        <v>5.0</v>
      </c>
      <c r="F63" s="1" t="s">
        <v>140</v>
      </c>
      <c r="G63" s="1" t="s">
        <v>88</v>
      </c>
      <c r="I63" s="2" t="b">
        <f t="shared" si="1"/>
        <v>0</v>
      </c>
    </row>
    <row r="64">
      <c r="A64" s="1" t="s">
        <v>4</v>
      </c>
      <c r="B64" s="1" t="s">
        <v>3</v>
      </c>
      <c r="C64" s="1">
        <v>4.0</v>
      </c>
      <c r="D64" s="1" t="s">
        <v>88</v>
      </c>
      <c r="E64" s="1">
        <v>5.0</v>
      </c>
      <c r="F64" s="1" t="s">
        <v>149</v>
      </c>
      <c r="G64" s="1" t="s">
        <v>88</v>
      </c>
      <c r="I64" s="2" t="b">
        <f t="shared" si="1"/>
        <v>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11.75"/>
    <col customWidth="1" min="3" max="3" width="8.88"/>
    <col customWidth="1" min="4" max="4" width="11.75"/>
    <col customWidth="1" min="5" max="5" width="8.5"/>
    <col customWidth="1" min="6" max="6" width="13.63"/>
    <col customWidth="1" min="7" max="7" width="12.13"/>
    <col customWidth="1" min="8" max="8" width="10.75"/>
    <col customWidth="1" min="9" max="9" width="6.5"/>
    <col customWidth="1" min="11" max="11" width="11.75"/>
    <col customWidth="1" min="12" max="12" width="6.5"/>
    <col customWidth="1" min="13" max="13" width="5.63"/>
  </cols>
  <sheetData>
    <row r="1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K1" s="1" t="s">
        <v>9</v>
      </c>
      <c r="L1" s="1" t="s">
        <v>16</v>
      </c>
      <c r="M1" s="1" t="s">
        <v>1</v>
      </c>
    </row>
    <row r="2">
      <c r="A2" s="1" t="s">
        <v>17</v>
      </c>
      <c r="B2" s="1" t="s">
        <v>18</v>
      </c>
      <c r="C2" s="3">
        <v>1.0</v>
      </c>
      <c r="D2" s="4" t="s">
        <v>84</v>
      </c>
      <c r="E2" s="3">
        <v>16.0</v>
      </c>
      <c r="F2" s="4" t="s">
        <v>150</v>
      </c>
      <c r="G2" s="4" t="s">
        <v>84</v>
      </c>
      <c r="I2" s="2" t="b">
        <f t="shared" ref="I2:I64" si="1">G2=H2</f>
        <v>0</v>
      </c>
      <c r="K2" s="1" t="s">
        <v>18</v>
      </c>
      <c r="M2" s="2">
        <f>1*L2</f>
        <v>0</v>
      </c>
    </row>
    <row r="3">
      <c r="A3" s="1" t="s">
        <v>17</v>
      </c>
      <c r="B3" s="1" t="s">
        <v>18</v>
      </c>
      <c r="C3" s="3">
        <v>2.0</v>
      </c>
      <c r="D3" s="4" t="s">
        <v>53</v>
      </c>
      <c r="E3" s="3">
        <v>15.0</v>
      </c>
      <c r="F3" s="4" t="s">
        <v>151</v>
      </c>
      <c r="G3" s="4" t="s">
        <v>53</v>
      </c>
      <c r="I3" s="2" t="b">
        <f t="shared" si="1"/>
        <v>0</v>
      </c>
      <c r="K3" s="1" t="s">
        <v>7</v>
      </c>
      <c r="M3" s="2">
        <f>2*L3</f>
        <v>0</v>
      </c>
    </row>
    <row r="4">
      <c r="A4" s="1" t="s">
        <v>17</v>
      </c>
      <c r="B4" s="1" t="s">
        <v>18</v>
      </c>
      <c r="C4" s="3">
        <v>3.0</v>
      </c>
      <c r="D4" s="4" t="s">
        <v>40</v>
      </c>
      <c r="E4" s="3">
        <v>14.0</v>
      </c>
      <c r="F4" s="4" t="s">
        <v>130</v>
      </c>
      <c r="G4" s="4" t="s">
        <v>40</v>
      </c>
      <c r="I4" s="2" t="b">
        <f t="shared" si="1"/>
        <v>0</v>
      </c>
      <c r="K4" s="1" t="s">
        <v>6</v>
      </c>
      <c r="M4" s="2">
        <f>4*L4</f>
        <v>0</v>
      </c>
    </row>
    <row r="5">
      <c r="A5" s="1" t="s">
        <v>17</v>
      </c>
      <c r="B5" s="1" t="s">
        <v>18</v>
      </c>
      <c r="C5" s="3">
        <v>4.0</v>
      </c>
      <c r="D5" s="4" t="s">
        <v>49</v>
      </c>
      <c r="E5" s="3">
        <v>13.0</v>
      </c>
      <c r="F5" s="4" t="s">
        <v>107</v>
      </c>
      <c r="G5" s="4" t="s">
        <v>49</v>
      </c>
      <c r="I5" s="2" t="b">
        <f t="shared" si="1"/>
        <v>0</v>
      </c>
      <c r="K5" s="1" t="s">
        <v>5</v>
      </c>
      <c r="M5" s="2">
        <f>8*L5</f>
        <v>0</v>
      </c>
    </row>
    <row r="6">
      <c r="A6" s="1" t="s">
        <v>17</v>
      </c>
      <c r="B6" s="1" t="s">
        <v>18</v>
      </c>
      <c r="C6" s="3">
        <v>5.0</v>
      </c>
      <c r="D6" s="4" t="s">
        <v>88</v>
      </c>
      <c r="E6" s="3">
        <v>12.0</v>
      </c>
      <c r="F6" s="4" t="s">
        <v>152</v>
      </c>
      <c r="G6" s="4" t="s">
        <v>152</v>
      </c>
      <c r="I6" s="2" t="b">
        <f t="shared" si="1"/>
        <v>0</v>
      </c>
      <c r="K6" s="1" t="s">
        <v>4</v>
      </c>
      <c r="M6" s="2">
        <f>16*L6</f>
        <v>0</v>
      </c>
    </row>
    <row r="7">
      <c r="A7" s="1" t="s">
        <v>17</v>
      </c>
      <c r="B7" s="1" t="s">
        <v>18</v>
      </c>
      <c r="C7" s="3">
        <v>6.0</v>
      </c>
      <c r="D7" s="4" t="s">
        <v>55</v>
      </c>
      <c r="E7" s="3">
        <v>11.0</v>
      </c>
      <c r="F7" s="4" t="s">
        <v>153</v>
      </c>
      <c r="G7" s="4" t="s">
        <v>153</v>
      </c>
      <c r="I7" s="2" t="b">
        <f t="shared" si="1"/>
        <v>0</v>
      </c>
      <c r="K7" s="1" t="s">
        <v>3</v>
      </c>
      <c r="M7" s="2">
        <f>32*L7</f>
        <v>0</v>
      </c>
    </row>
    <row r="8">
      <c r="A8" s="1" t="s">
        <v>17</v>
      </c>
      <c r="B8" s="1" t="s">
        <v>18</v>
      </c>
      <c r="C8" s="3">
        <v>7.0</v>
      </c>
      <c r="D8" s="4" t="s">
        <v>86</v>
      </c>
      <c r="E8" s="3">
        <v>10.0</v>
      </c>
      <c r="F8" s="4" t="s">
        <v>154</v>
      </c>
      <c r="G8" s="4" t="s">
        <v>86</v>
      </c>
      <c r="I8" s="2" t="b">
        <f t="shared" si="1"/>
        <v>0</v>
      </c>
      <c r="L8" s="2">
        <f t="shared" ref="L8:M8" si="2">SUM(L2:L7)</f>
        <v>0</v>
      </c>
      <c r="M8" s="2">
        <f t="shared" si="2"/>
        <v>0</v>
      </c>
    </row>
    <row r="9">
      <c r="A9" s="1" t="s">
        <v>17</v>
      </c>
      <c r="B9" s="1" t="s">
        <v>18</v>
      </c>
      <c r="C9" s="3">
        <v>8.0</v>
      </c>
      <c r="D9" s="4" t="s">
        <v>148</v>
      </c>
      <c r="E9" s="3">
        <v>9.0</v>
      </c>
      <c r="F9" s="4" t="s">
        <v>44</v>
      </c>
      <c r="G9" s="4" t="s">
        <v>44</v>
      </c>
      <c r="I9" s="2" t="b">
        <f t="shared" si="1"/>
        <v>0</v>
      </c>
    </row>
    <row r="10">
      <c r="A10" s="1" t="s">
        <v>35</v>
      </c>
      <c r="B10" s="1" t="s">
        <v>18</v>
      </c>
      <c r="C10" s="3">
        <v>1.0</v>
      </c>
      <c r="D10" s="4" t="s">
        <v>68</v>
      </c>
      <c r="E10" s="3">
        <v>16.0</v>
      </c>
      <c r="F10" s="4" t="s">
        <v>155</v>
      </c>
      <c r="G10" s="4" t="s">
        <v>68</v>
      </c>
      <c r="I10" s="2" t="b">
        <f t="shared" si="1"/>
        <v>0</v>
      </c>
    </row>
    <row r="11">
      <c r="A11" s="1" t="s">
        <v>35</v>
      </c>
      <c r="B11" s="1" t="s">
        <v>18</v>
      </c>
      <c r="C11" s="3">
        <v>2.0</v>
      </c>
      <c r="D11" s="4" t="s">
        <v>74</v>
      </c>
      <c r="E11" s="3">
        <v>15.0</v>
      </c>
      <c r="F11" s="4" t="s">
        <v>113</v>
      </c>
      <c r="G11" s="4" t="s">
        <v>113</v>
      </c>
      <c r="I11" s="2" t="b">
        <f t="shared" si="1"/>
        <v>0</v>
      </c>
    </row>
    <row r="12">
      <c r="A12" s="1" t="s">
        <v>35</v>
      </c>
      <c r="B12" s="1" t="s">
        <v>18</v>
      </c>
      <c r="C12" s="3">
        <v>3.0</v>
      </c>
      <c r="D12" s="4" t="s">
        <v>76</v>
      </c>
      <c r="E12" s="3">
        <v>14.0</v>
      </c>
      <c r="F12" s="4" t="s">
        <v>26</v>
      </c>
      <c r="G12" s="4" t="s">
        <v>76</v>
      </c>
      <c r="I12" s="2" t="b">
        <f t="shared" si="1"/>
        <v>0</v>
      </c>
    </row>
    <row r="13">
      <c r="A13" s="1" t="s">
        <v>35</v>
      </c>
      <c r="B13" s="1" t="s">
        <v>18</v>
      </c>
      <c r="C13" s="3">
        <v>4.0</v>
      </c>
      <c r="D13" s="4" t="s">
        <v>82</v>
      </c>
      <c r="E13" s="3">
        <v>13.0</v>
      </c>
      <c r="F13" s="4" t="s">
        <v>60</v>
      </c>
      <c r="G13" s="4" t="s">
        <v>82</v>
      </c>
      <c r="I13" s="2" t="b">
        <f t="shared" si="1"/>
        <v>0</v>
      </c>
    </row>
    <row r="14">
      <c r="A14" s="1" t="s">
        <v>35</v>
      </c>
      <c r="B14" s="1" t="s">
        <v>18</v>
      </c>
      <c r="C14" s="3">
        <v>5.0</v>
      </c>
      <c r="D14" s="4" t="s">
        <v>65</v>
      </c>
      <c r="E14" s="3">
        <v>12.0</v>
      </c>
      <c r="F14" s="4" t="s">
        <v>138</v>
      </c>
      <c r="G14" s="4" t="s">
        <v>65</v>
      </c>
      <c r="I14" s="2" t="b">
        <f t="shared" si="1"/>
        <v>0</v>
      </c>
    </row>
    <row r="15">
      <c r="A15" s="1" t="s">
        <v>35</v>
      </c>
      <c r="B15" s="1" t="s">
        <v>18</v>
      </c>
      <c r="C15" s="3">
        <v>6.0</v>
      </c>
      <c r="D15" s="4" t="s">
        <v>116</v>
      </c>
      <c r="E15" s="3">
        <v>11.0</v>
      </c>
      <c r="F15" s="4" t="s">
        <v>156</v>
      </c>
      <c r="G15" s="4" t="s">
        <v>116</v>
      </c>
      <c r="I15" s="2" t="b">
        <f t="shared" si="1"/>
        <v>0</v>
      </c>
    </row>
    <row r="16">
      <c r="A16" s="1" t="s">
        <v>35</v>
      </c>
      <c r="B16" s="1" t="s">
        <v>18</v>
      </c>
      <c r="C16" s="3">
        <v>7.0</v>
      </c>
      <c r="D16" s="4" t="s">
        <v>157</v>
      </c>
      <c r="E16" s="3">
        <v>10.0</v>
      </c>
      <c r="F16" s="4" t="s">
        <v>158</v>
      </c>
      <c r="G16" s="4" t="s">
        <v>157</v>
      </c>
      <c r="I16" s="2" t="b">
        <f t="shared" si="1"/>
        <v>0</v>
      </c>
    </row>
    <row r="17">
      <c r="A17" s="1" t="s">
        <v>35</v>
      </c>
      <c r="B17" s="1" t="s">
        <v>18</v>
      </c>
      <c r="C17" s="3">
        <v>8.0</v>
      </c>
      <c r="D17" s="4" t="s">
        <v>30</v>
      </c>
      <c r="E17" s="3">
        <v>9.0</v>
      </c>
      <c r="F17" s="4" t="s">
        <v>31</v>
      </c>
      <c r="G17" s="4" t="s">
        <v>30</v>
      </c>
      <c r="I17" s="2" t="b">
        <f t="shared" si="1"/>
        <v>0</v>
      </c>
    </row>
    <row r="18">
      <c r="A18" s="1" t="s">
        <v>52</v>
      </c>
      <c r="B18" s="1" t="s">
        <v>18</v>
      </c>
      <c r="C18" s="3">
        <v>1.0</v>
      </c>
      <c r="D18" s="4" t="s">
        <v>59</v>
      </c>
      <c r="E18" s="3">
        <v>16.0</v>
      </c>
      <c r="F18" s="4" t="s">
        <v>159</v>
      </c>
      <c r="G18" s="4" t="s">
        <v>59</v>
      </c>
      <c r="I18" s="2" t="b">
        <f t="shared" si="1"/>
        <v>0</v>
      </c>
    </row>
    <row r="19">
      <c r="A19" s="1" t="s">
        <v>52</v>
      </c>
      <c r="B19" s="1" t="s">
        <v>18</v>
      </c>
      <c r="C19" s="3">
        <v>2.0</v>
      </c>
      <c r="D19" s="4" t="s">
        <v>160</v>
      </c>
      <c r="E19" s="3">
        <v>15.0</v>
      </c>
      <c r="F19" s="4" t="s">
        <v>161</v>
      </c>
      <c r="G19" s="4" t="s">
        <v>160</v>
      </c>
      <c r="I19" s="2" t="b">
        <f t="shared" si="1"/>
        <v>0</v>
      </c>
    </row>
    <row r="20">
      <c r="A20" s="1" t="s">
        <v>52</v>
      </c>
      <c r="B20" s="1" t="s">
        <v>18</v>
      </c>
      <c r="C20" s="3">
        <v>3.0</v>
      </c>
      <c r="D20" s="4" t="s">
        <v>72</v>
      </c>
      <c r="E20" s="3">
        <v>14.0</v>
      </c>
      <c r="F20" s="4" t="s">
        <v>104</v>
      </c>
      <c r="G20" s="4" t="s">
        <v>72</v>
      </c>
      <c r="I20" s="2" t="b">
        <f t="shared" si="1"/>
        <v>0</v>
      </c>
    </row>
    <row r="21">
      <c r="A21" s="1" t="s">
        <v>52</v>
      </c>
      <c r="B21" s="1" t="s">
        <v>18</v>
      </c>
      <c r="C21" s="3">
        <v>4.0</v>
      </c>
      <c r="D21" s="4" t="s">
        <v>80</v>
      </c>
      <c r="E21" s="3">
        <v>13.0</v>
      </c>
      <c r="F21" s="4" t="s">
        <v>162</v>
      </c>
      <c r="G21" s="4" t="s">
        <v>80</v>
      </c>
      <c r="I21" s="2" t="b">
        <f t="shared" si="1"/>
        <v>0</v>
      </c>
    </row>
    <row r="22">
      <c r="A22" s="1" t="s">
        <v>52</v>
      </c>
      <c r="B22" s="1" t="s">
        <v>18</v>
      </c>
      <c r="C22" s="3">
        <v>5.0</v>
      </c>
      <c r="D22" s="4" t="s">
        <v>70</v>
      </c>
      <c r="E22" s="3">
        <v>12.0</v>
      </c>
      <c r="F22" s="4" t="s">
        <v>93</v>
      </c>
      <c r="G22" s="4" t="s">
        <v>70</v>
      </c>
      <c r="I22" s="2" t="b">
        <f t="shared" si="1"/>
        <v>0</v>
      </c>
    </row>
    <row r="23">
      <c r="A23" s="1" t="s">
        <v>52</v>
      </c>
      <c r="B23" s="1" t="s">
        <v>18</v>
      </c>
      <c r="C23" s="3">
        <v>6.0</v>
      </c>
      <c r="D23" s="4" t="s">
        <v>163</v>
      </c>
      <c r="E23" s="3">
        <v>11.0</v>
      </c>
      <c r="F23" s="4" t="s">
        <v>27</v>
      </c>
      <c r="G23" s="4" t="s">
        <v>27</v>
      </c>
      <c r="I23" s="2" t="b">
        <f t="shared" si="1"/>
        <v>0</v>
      </c>
    </row>
    <row r="24">
      <c r="A24" s="1" t="s">
        <v>52</v>
      </c>
      <c r="B24" s="1" t="s">
        <v>18</v>
      </c>
      <c r="C24" s="3">
        <v>7.0</v>
      </c>
      <c r="D24" s="4" t="s">
        <v>164</v>
      </c>
      <c r="E24" s="3">
        <v>10.0</v>
      </c>
      <c r="F24" s="4" t="s">
        <v>165</v>
      </c>
      <c r="G24" s="4" t="s">
        <v>164</v>
      </c>
      <c r="I24" s="2" t="b">
        <f t="shared" si="1"/>
        <v>0</v>
      </c>
    </row>
    <row r="25">
      <c r="A25" s="1" t="s">
        <v>52</v>
      </c>
      <c r="B25" s="1" t="s">
        <v>18</v>
      </c>
      <c r="C25" s="3">
        <v>8.0</v>
      </c>
      <c r="D25" s="4" t="s">
        <v>166</v>
      </c>
      <c r="E25" s="3">
        <v>9.0</v>
      </c>
      <c r="F25" s="4" t="s">
        <v>117</v>
      </c>
      <c r="G25" s="4" t="s">
        <v>117</v>
      </c>
      <c r="I25" s="2" t="b">
        <f t="shared" si="1"/>
        <v>0</v>
      </c>
    </row>
    <row r="26">
      <c r="A26" s="1" t="s">
        <v>69</v>
      </c>
      <c r="B26" s="1" t="s">
        <v>18</v>
      </c>
      <c r="C26" s="3">
        <v>1.0</v>
      </c>
      <c r="D26" s="4" t="s">
        <v>48</v>
      </c>
      <c r="E26" s="3">
        <v>16.0</v>
      </c>
      <c r="F26" s="4" t="s">
        <v>167</v>
      </c>
      <c r="G26" s="4" t="s">
        <v>48</v>
      </c>
      <c r="I26" s="2" t="b">
        <f t="shared" si="1"/>
        <v>0</v>
      </c>
    </row>
    <row r="27">
      <c r="A27" s="1" t="s">
        <v>69</v>
      </c>
      <c r="B27" s="1" t="s">
        <v>18</v>
      </c>
      <c r="C27" s="3">
        <v>2.0</v>
      </c>
      <c r="D27" s="4" t="s">
        <v>19</v>
      </c>
      <c r="E27" s="3">
        <v>15.0</v>
      </c>
      <c r="F27" s="4" t="s">
        <v>168</v>
      </c>
      <c r="G27" s="4" t="s">
        <v>19</v>
      </c>
      <c r="I27" s="2" t="b">
        <f t="shared" si="1"/>
        <v>0</v>
      </c>
    </row>
    <row r="28">
      <c r="A28" s="1" t="s">
        <v>69</v>
      </c>
      <c r="B28" s="1" t="s">
        <v>18</v>
      </c>
      <c r="C28" s="3">
        <v>3.0</v>
      </c>
      <c r="D28" s="4" t="s">
        <v>57</v>
      </c>
      <c r="E28" s="3">
        <v>14.0</v>
      </c>
      <c r="F28" s="4" t="s">
        <v>100</v>
      </c>
      <c r="G28" s="4" t="s">
        <v>57</v>
      </c>
      <c r="I28" s="2" t="b">
        <f t="shared" si="1"/>
        <v>0</v>
      </c>
    </row>
    <row r="29">
      <c r="A29" s="1" t="s">
        <v>69</v>
      </c>
      <c r="B29" s="1" t="s">
        <v>18</v>
      </c>
      <c r="C29" s="3">
        <v>4.0</v>
      </c>
      <c r="D29" s="4" t="s">
        <v>133</v>
      </c>
      <c r="E29" s="3">
        <v>13.0</v>
      </c>
      <c r="F29" s="4" t="s">
        <v>169</v>
      </c>
      <c r="G29" s="4" t="s">
        <v>133</v>
      </c>
      <c r="I29" s="2" t="b">
        <f t="shared" si="1"/>
        <v>0</v>
      </c>
    </row>
    <row r="30">
      <c r="A30" s="1" t="s">
        <v>69</v>
      </c>
      <c r="B30" s="1" t="s">
        <v>18</v>
      </c>
      <c r="C30" s="3">
        <v>5.0</v>
      </c>
      <c r="D30" s="4" t="s">
        <v>143</v>
      </c>
      <c r="E30" s="3">
        <v>12.0</v>
      </c>
      <c r="F30" s="4" t="s">
        <v>170</v>
      </c>
      <c r="G30" s="4" t="s">
        <v>170</v>
      </c>
      <c r="I30" s="2" t="b">
        <f t="shared" si="1"/>
        <v>0</v>
      </c>
    </row>
    <row r="31">
      <c r="A31" s="1" t="s">
        <v>69</v>
      </c>
      <c r="B31" s="1" t="s">
        <v>18</v>
      </c>
      <c r="C31" s="3">
        <v>6.0</v>
      </c>
      <c r="D31" s="4" t="s">
        <v>171</v>
      </c>
      <c r="E31" s="3">
        <v>11.0</v>
      </c>
      <c r="F31" s="4" t="s">
        <v>118</v>
      </c>
      <c r="G31" s="4" t="s">
        <v>118</v>
      </c>
      <c r="I31" s="2" t="b">
        <f t="shared" si="1"/>
        <v>0</v>
      </c>
    </row>
    <row r="32">
      <c r="A32" s="1" t="s">
        <v>69</v>
      </c>
      <c r="B32" s="1" t="s">
        <v>18</v>
      </c>
      <c r="C32" s="3">
        <v>7.0</v>
      </c>
      <c r="D32" s="4" t="s">
        <v>134</v>
      </c>
      <c r="E32" s="3">
        <v>10.0</v>
      </c>
      <c r="F32" s="4" t="s">
        <v>140</v>
      </c>
      <c r="G32" s="4" t="s">
        <v>140</v>
      </c>
      <c r="I32" s="2" t="b">
        <f t="shared" si="1"/>
        <v>0</v>
      </c>
    </row>
    <row r="33">
      <c r="A33" s="1" t="s">
        <v>69</v>
      </c>
      <c r="B33" s="1" t="s">
        <v>18</v>
      </c>
      <c r="C33" s="3">
        <v>8.0</v>
      </c>
      <c r="D33" s="4" t="s">
        <v>149</v>
      </c>
      <c r="E33" s="3">
        <v>9.0</v>
      </c>
      <c r="F33" s="4" t="s">
        <v>34</v>
      </c>
      <c r="G33" s="4" t="s">
        <v>34</v>
      </c>
      <c r="I33" s="2" t="b">
        <f t="shared" si="1"/>
        <v>0</v>
      </c>
    </row>
    <row r="34">
      <c r="A34" s="1" t="s">
        <v>17</v>
      </c>
      <c r="B34" s="1" t="s">
        <v>7</v>
      </c>
      <c r="C34" s="3">
        <v>1.0</v>
      </c>
      <c r="D34" s="4" t="s">
        <v>84</v>
      </c>
      <c r="E34" s="3">
        <v>9.0</v>
      </c>
      <c r="F34" s="4" t="s">
        <v>44</v>
      </c>
      <c r="G34" s="4" t="s">
        <v>84</v>
      </c>
      <c r="I34" s="2" t="b">
        <f t="shared" si="1"/>
        <v>0</v>
      </c>
    </row>
    <row r="35">
      <c r="A35" s="1" t="s">
        <v>17</v>
      </c>
      <c r="B35" s="1" t="s">
        <v>7</v>
      </c>
      <c r="C35" s="3">
        <v>2.0</v>
      </c>
      <c r="D35" s="4" t="s">
        <v>53</v>
      </c>
      <c r="E35" s="3">
        <v>7.0</v>
      </c>
      <c r="F35" s="4" t="s">
        <v>86</v>
      </c>
      <c r="G35" s="4" t="s">
        <v>53</v>
      </c>
      <c r="I35" s="2" t="b">
        <f t="shared" si="1"/>
        <v>0</v>
      </c>
    </row>
    <row r="36">
      <c r="A36" s="1" t="s">
        <v>17</v>
      </c>
      <c r="B36" s="1" t="s">
        <v>7</v>
      </c>
      <c r="C36" s="3">
        <v>3.0</v>
      </c>
      <c r="D36" s="4" t="s">
        <v>40</v>
      </c>
      <c r="E36" s="3">
        <v>11.0</v>
      </c>
      <c r="F36" s="4" t="s">
        <v>153</v>
      </c>
      <c r="G36" s="4" t="s">
        <v>40</v>
      </c>
      <c r="I36" s="2" t="b">
        <f t="shared" si="1"/>
        <v>0</v>
      </c>
    </row>
    <row r="37">
      <c r="A37" s="1" t="s">
        <v>17</v>
      </c>
      <c r="B37" s="1" t="s">
        <v>7</v>
      </c>
      <c r="C37" s="3">
        <v>4.0</v>
      </c>
      <c r="D37" s="4" t="s">
        <v>49</v>
      </c>
      <c r="E37" s="3">
        <v>12.0</v>
      </c>
      <c r="F37" s="4" t="s">
        <v>152</v>
      </c>
      <c r="G37" s="4" t="s">
        <v>49</v>
      </c>
      <c r="I37" s="2" t="b">
        <f t="shared" si="1"/>
        <v>0</v>
      </c>
    </row>
    <row r="38">
      <c r="A38" s="1" t="s">
        <v>35</v>
      </c>
      <c r="B38" s="1" t="s">
        <v>7</v>
      </c>
      <c r="C38" s="3">
        <v>1.0</v>
      </c>
      <c r="D38" s="4" t="s">
        <v>68</v>
      </c>
      <c r="E38" s="3">
        <v>8.0</v>
      </c>
      <c r="F38" s="4" t="s">
        <v>30</v>
      </c>
      <c r="G38" s="4" t="s">
        <v>30</v>
      </c>
      <c r="I38" s="2" t="b">
        <f t="shared" si="1"/>
        <v>0</v>
      </c>
    </row>
    <row r="39">
      <c r="A39" s="1" t="s">
        <v>35</v>
      </c>
      <c r="B39" s="1" t="s">
        <v>7</v>
      </c>
      <c r="C39" s="3">
        <v>7.0</v>
      </c>
      <c r="D39" s="4" t="s">
        <v>157</v>
      </c>
      <c r="E39" s="3">
        <v>15.0</v>
      </c>
      <c r="F39" s="4" t="s">
        <v>113</v>
      </c>
      <c r="G39" s="4" t="s">
        <v>113</v>
      </c>
      <c r="I39" s="2" t="b">
        <f t="shared" si="1"/>
        <v>0</v>
      </c>
    </row>
    <row r="40">
      <c r="A40" s="1" t="s">
        <v>35</v>
      </c>
      <c r="B40" s="1" t="s">
        <v>7</v>
      </c>
      <c r="C40" s="3">
        <v>3.0</v>
      </c>
      <c r="D40" s="4" t="s">
        <v>76</v>
      </c>
      <c r="E40" s="3">
        <v>6.0</v>
      </c>
      <c r="F40" s="4" t="s">
        <v>116</v>
      </c>
      <c r="G40" s="4" t="s">
        <v>76</v>
      </c>
      <c r="I40" s="2" t="b">
        <f t="shared" si="1"/>
        <v>0</v>
      </c>
    </row>
    <row r="41">
      <c r="A41" s="1" t="s">
        <v>35</v>
      </c>
      <c r="B41" s="1" t="s">
        <v>7</v>
      </c>
      <c r="C41" s="3">
        <v>4.0</v>
      </c>
      <c r="D41" s="4" t="s">
        <v>82</v>
      </c>
      <c r="E41" s="3">
        <v>5.0</v>
      </c>
      <c r="F41" s="4" t="s">
        <v>65</v>
      </c>
      <c r="G41" s="4" t="s">
        <v>82</v>
      </c>
      <c r="I41" s="2" t="b">
        <f t="shared" si="1"/>
        <v>0</v>
      </c>
    </row>
    <row r="42">
      <c r="A42" s="1" t="s">
        <v>52</v>
      </c>
      <c r="B42" s="1" t="s">
        <v>7</v>
      </c>
      <c r="C42" s="3">
        <v>1.0</v>
      </c>
      <c r="D42" s="4" t="s">
        <v>59</v>
      </c>
      <c r="E42" s="1">
        <v>9.0</v>
      </c>
      <c r="F42" s="1" t="s">
        <v>117</v>
      </c>
      <c r="G42" s="1" t="s">
        <v>59</v>
      </c>
      <c r="I42" s="2" t="b">
        <f t="shared" si="1"/>
        <v>0</v>
      </c>
    </row>
    <row r="43">
      <c r="A43" s="1" t="s">
        <v>52</v>
      </c>
      <c r="B43" s="1" t="s">
        <v>7</v>
      </c>
      <c r="C43" s="3">
        <v>2.0</v>
      </c>
      <c r="D43" s="4" t="s">
        <v>160</v>
      </c>
      <c r="E43" s="1">
        <v>7.0</v>
      </c>
      <c r="F43" s="1" t="s">
        <v>164</v>
      </c>
      <c r="G43" s="1" t="s">
        <v>160</v>
      </c>
      <c r="I43" s="2" t="b">
        <f t="shared" si="1"/>
        <v>0</v>
      </c>
    </row>
    <row r="44">
      <c r="A44" s="1" t="s">
        <v>52</v>
      </c>
      <c r="B44" s="1" t="s">
        <v>7</v>
      </c>
      <c r="C44" s="3">
        <v>3.0</v>
      </c>
      <c r="D44" s="4" t="s">
        <v>72</v>
      </c>
      <c r="E44" s="1">
        <v>11.0</v>
      </c>
      <c r="F44" s="1" t="s">
        <v>27</v>
      </c>
      <c r="G44" s="1" t="s">
        <v>27</v>
      </c>
      <c r="I44" s="2" t="b">
        <f t="shared" si="1"/>
        <v>0</v>
      </c>
    </row>
    <row r="45">
      <c r="A45" s="1" t="s">
        <v>52</v>
      </c>
      <c r="B45" s="1" t="s">
        <v>7</v>
      </c>
      <c r="C45" s="3">
        <v>4.0</v>
      </c>
      <c r="D45" s="4" t="s">
        <v>80</v>
      </c>
      <c r="E45" s="1">
        <v>5.0</v>
      </c>
      <c r="F45" s="1" t="s">
        <v>70</v>
      </c>
      <c r="G45" s="1" t="s">
        <v>70</v>
      </c>
      <c r="I45" s="2" t="b">
        <f t="shared" si="1"/>
        <v>0</v>
      </c>
    </row>
    <row r="46">
      <c r="A46" s="1" t="s">
        <v>69</v>
      </c>
      <c r="B46" s="1" t="s">
        <v>7</v>
      </c>
      <c r="C46" s="3">
        <v>1.0</v>
      </c>
      <c r="D46" s="4" t="s">
        <v>48</v>
      </c>
      <c r="E46" s="3">
        <v>9.0</v>
      </c>
      <c r="F46" s="4" t="s">
        <v>34</v>
      </c>
      <c r="G46" s="4" t="s">
        <v>48</v>
      </c>
      <c r="I46" s="2" t="b">
        <f t="shared" si="1"/>
        <v>0</v>
      </c>
    </row>
    <row r="47">
      <c r="A47" s="1" t="s">
        <v>69</v>
      </c>
      <c r="B47" s="1" t="s">
        <v>7</v>
      </c>
      <c r="C47" s="3">
        <v>2.0</v>
      </c>
      <c r="D47" s="4" t="s">
        <v>19</v>
      </c>
      <c r="E47" s="3">
        <v>10.0</v>
      </c>
      <c r="F47" s="4" t="s">
        <v>140</v>
      </c>
      <c r="G47" s="4" t="s">
        <v>140</v>
      </c>
      <c r="I47" s="2" t="b">
        <f t="shared" si="1"/>
        <v>0</v>
      </c>
    </row>
    <row r="48">
      <c r="A48" s="1" t="s">
        <v>69</v>
      </c>
      <c r="B48" s="1" t="s">
        <v>7</v>
      </c>
      <c r="C48" s="3">
        <v>3.0</v>
      </c>
      <c r="D48" s="4" t="s">
        <v>57</v>
      </c>
      <c r="E48" s="3">
        <v>11.0</v>
      </c>
      <c r="F48" s="4" t="s">
        <v>118</v>
      </c>
      <c r="G48" s="4" t="s">
        <v>118</v>
      </c>
      <c r="I48" s="2" t="b">
        <f t="shared" si="1"/>
        <v>0</v>
      </c>
    </row>
    <row r="49">
      <c r="A49" s="1" t="s">
        <v>69</v>
      </c>
      <c r="B49" s="1" t="s">
        <v>7</v>
      </c>
      <c r="C49" s="3">
        <v>4.0</v>
      </c>
      <c r="D49" s="4" t="s">
        <v>133</v>
      </c>
      <c r="E49" s="3">
        <v>12.0</v>
      </c>
      <c r="F49" s="4" t="s">
        <v>170</v>
      </c>
      <c r="G49" s="4" t="s">
        <v>133</v>
      </c>
      <c r="I49" s="2" t="b">
        <f t="shared" si="1"/>
        <v>0</v>
      </c>
    </row>
    <row r="50">
      <c r="A50" s="1" t="s">
        <v>17</v>
      </c>
      <c r="B50" s="1" t="s">
        <v>6</v>
      </c>
      <c r="C50" s="3">
        <v>1.0</v>
      </c>
      <c r="D50" s="4" t="s">
        <v>84</v>
      </c>
      <c r="E50" s="3">
        <v>4.0</v>
      </c>
      <c r="F50" s="4" t="s">
        <v>49</v>
      </c>
      <c r="G50" s="4" t="s">
        <v>49</v>
      </c>
      <c r="I50" s="2" t="b">
        <f t="shared" si="1"/>
        <v>0</v>
      </c>
    </row>
    <row r="51">
      <c r="A51" s="1" t="s">
        <v>17</v>
      </c>
      <c r="B51" s="1" t="s">
        <v>6</v>
      </c>
      <c r="C51" s="3">
        <v>2.0</v>
      </c>
      <c r="D51" s="4" t="s">
        <v>53</v>
      </c>
      <c r="E51" s="3">
        <v>3.0</v>
      </c>
      <c r="F51" s="4" t="s">
        <v>40</v>
      </c>
      <c r="G51" s="4" t="s">
        <v>53</v>
      </c>
      <c r="I51" s="2" t="b">
        <f t="shared" si="1"/>
        <v>0</v>
      </c>
    </row>
    <row r="52">
      <c r="A52" s="1" t="s">
        <v>35</v>
      </c>
      <c r="B52" s="1" t="s">
        <v>6</v>
      </c>
      <c r="C52" s="1">
        <v>4.0</v>
      </c>
      <c r="D52" s="1" t="s">
        <v>82</v>
      </c>
      <c r="E52" s="1">
        <v>8.0</v>
      </c>
      <c r="F52" s="1" t="s">
        <v>30</v>
      </c>
      <c r="G52" s="1" t="s">
        <v>30</v>
      </c>
      <c r="I52" s="2" t="b">
        <f t="shared" si="1"/>
        <v>0</v>
      </c>
    </row>
    <row r="53">
      <c r="A53" s="1" t="s">
        <v>35</v>
      </c>
      <c r="B53" s="1" t="s">
        <v>6</v>
      </c>
      <c r="C53" s="1">
        <v>3.0</v>
      </c>
      <c r="D53" s="1" t="s">
        <v>76</v>
      </c>
      <c r="E53" s="1">
        <v>15.0</v>
      </c>
      <c r="F53" s="1" t="s">
        <v>113</v>
      </c>
      <c r="G53" s="1" t="s">
        <v>113</v>
      </c>
      <c r="I53" s="2" t="b">
        <f t="shared" si="1"/>
        <v>0</v>
      </c>
    </row>
    <row r="54">
      <c r="A54" s="1" t="s">
        <v>52</v>
      </c>
      <c r="B54" s="1" t="s">
        <v>6</v>
      </c>
      <c r="C54" s="1">
        <v>1.0</v>
      </c>
      <c r="D54" s="1" t="s">
        <v>59</v>
      </c>
      <c r="E54" s="1">
        <v>5.0</v>
      </c>
      <c r="F54" s="1" t="s">
        <v>70</v>
      </c>
      <c r="G54" s="1" t="s">
        <v>70</v>
      </c>
      <c r="I54" s="2" t="b">
        <f t="shared" si="1"/>
        <v>0</v>
      </c>
    </row>
    <row r="55">
      <c r="A55" s="1" t="s">
        <v>52</v>
      </c>
      <c r="B55" s="1" t="s">
        <v>6</v>
      </c>
      <c r="C55" s="1">
        <v>2.0</v>
      </c>
      <c r="D55" s="1" t="s">
        <v>160</v>
      </c>
      <c r="E55" s="1">
        <v>11.0</v>
      </c>
      <c r="F55" s="1" t="s">
        <v>27</v>
      </c>
      <c r="G55" s="1" t="s">
        <v>160</v>
      </c>
      <c r="I55" s="2" t="b">
        <f t="shared" si="1"/>
        <v>0</v>
      </c>
    </row>
    <row r="56">
      <c r="A56" s="1" t="s">
        <v>69</v>
      </c>
      <c r="B56" s="1" t="s">
        <v>6</v>
      </c>
      <c r="C56" s="1">
        <v>1.0</v>
      </c>
      <c r="D56" s="1" t="s">
        <v>48</v>
      </c>
      <c r="E56" s="1">
        <v>4.0</v>
      </c>
      <c r="F56" s="1" t="s">
        <v>133</v>
      </c>
      <c r="G56" s="1" t="s">
        <v>48</v>
      </c>
      <c r="I56" s="2" t="b">
        <f t="shared" si="1"/>
        <v>0</v>
      </c>
    </row>
    <row r="57">
      <c r="A57" s="1" t="s">
        <v>69</v>
      </c>
      <c r="B57" s="1" t="s">
        <v>6</v>
      </c>
      <c r="C57" s="1">
        <v>10.0</v>
      </c>
      <c r="D57" s="1" t="s">
        <v>140</v>
      </c>
      <c r="E57" s="1">
        <v>11.0</v>
      </c>
      <c r="F57" s="1" t="s">
        <v>118</v>
      </c>
      <c r="G57" s="1" t="s">
        <v>140</v>
      </c>
      <c r="I57" s="2" t="b">
        <f t="shared" si="1"/>
        <v>0</v>
      </c>
    </row>
    <row r="58">
      <c r="A58" s="1" t="s">
        <v>17</v>
      </c>
      <c r="B58" s="1" t="s">
        <v>5</v>
      </c>
      <c r="C58" s="3">
        <v>2.0</v>
      </c>
      <c r="D58" s="4" t="s">
        <v>53</v>
      </c>
      <c r="E58" s="3">
        <v>4.0</v>
      </c>
      <c r="F58" s="4" t="s">
        <v>49</v>
      </c>
      <c r="G58" s="4" t="s">
        <v>53</v>
      </c>
      <c r="I58" s="2" t="b">
        <f t="shared" si="1"/>
        <v>0</v>
      </c>
    </row>
    <row r="59">
      <c r="A59" s="1" t="s">
        <v>35</v>
      </c>
      <c r="B59" s="1" t="s">
        <v>5</v>
      </c>
      <c r="C59" s="1">
        <v>8.0</v>
      </c>
      <c r="D59" s="1" t="s">
        <v>30</v>
      </c>
      <c r="E59" s="1">
        <v>15.0</v>
      </c>
      <c r="F59" s="1" t="s">
        <v>113</v>
      </c>
      <c r="G59" s="1" t="s">
        <v>30</v>
      </c>
      <c r="I59" s="2" t="b">
        <f t="shared" si="1"/>
        <v>0</v>
      </c>
    </row>
    <row r="60">
      <c r="A60" s="1" t="s">
        <v>52</v>
      </c>
      <c r="B60" s="1" t="s">
        <v>5</v>
      </c>
      <c r="C60" s="1">
        <v>2.0</v>
      </c>
      <c r="D60" s="1" t="s">
        <v>160</v>
      </c>
      <c r="E60" s="1">
        <v>5.0</v>
      </c>
      <c r="F60" s="1" t="s">
        <v>70</v>
      </c>
      <c r="G60" s="1" t="s">
        <v>160</v>
      </c>
      <c r="I60" s="2" t="b">
        <f t="shared" si="1"/>
        <v>0</v>
      </c>
    </row>
    <row r="61">
      <c r="A61" s="1" t="s">
        <v>69</v>
      </c>
      <c r="B61" s="1" t="s">
        <v>5</v>
      </c>
      <c r="C61" s="1">
        <v>1.0</v>
      </c>
      <c r="D61" s="1" t="s">
        <v>48</v>
      </c>
      <c r="E61" s="1">
        <v>10.0</v>
      </c>
      <c r="F61" s="1" t="s">
        <v>140</v>
      </c>
      <c r="G61" s="1" t="s">
        <v>48</v>
      </c>
      <c r="I61" s="2" t="b">
        <f t="shared" si="1"/>
        <v>0</v>
      </c>
    </row>
    <row r="62">
      <c r="A62" s="1" t="s">
        <v>4</v>
      </c>
      <c r="B62" s="1" t="s">
        <v>4</v>
      </c>
      <c r="C62" s="3">
        <v>2.0</v>
      </c>
      <c r="D62" s="4" t="s">
        <v>53</v>
      </c>
      <c r="E62" s="1">
        <v>8.0</v>
      </c>
      <c r="F62" s="1" t="s">
        <v>30</v>
      </c>
      <c r="G62" s="1" t="s">
        <v>30</v>
      </c>
      <c r="I62" s="2" t="b">
        <f t="shared" si="1"/>
        <v>0</v>
      </c>
    </row>
    <row r="63">
      <c r="A63" s="1" t="s">
        <v>4</v>
      </c>
      <c r="B63" s="1" t="s">
        <v>4</v>
      </c>
      <c r="C63" s="1">
        <v>1.0</v>
      </c>
      <c r="D63" s="1" t="s">
        <v>48</v>
      </c>
      <c r="E63" s="1">
        <v>2.0</v>
      </c>
      <c r="F63" s="1" t="s">
        <v>160</v>
      </c>
      <c r="G63" s="1" t="s">
        <v>48</v>
      </c>
      <c r="I63" s="2" t="b">
        <f t="shared" si="1"/>
        <v>0</v>
      </c>
    </row>
    <row r="64">
      <c r="A64" s="1" t="s">
        <v>4</v>
      </c>
      <c r="B64" s="1" t="s">
        <v>3</v>
      </c>
      <c r="C64" s="1">
        <v>1.0</v>
      </c>
      <c r="D64" s="1" t="s">
        <v>48</v>
      </c>
      <c r="E64" s="1">
        <v>8.0</v>
      </c>
      <c r="F64" s="1" t="s">
        <v>30</v>
      </c>
      <c r="G64" s="1" t="s">
        <v>48</v>
      </c>
      <c r="I64" s="2" t="b">
        <f t="shared" si="1"/>
        <v>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11.75"/>
    <col customWidth="1" min="3" max="3" width="8.88"/>
    <col customWidth="1" min="4" max="4" width="12.5"/>
    <col customWidth="1" min="5" max="5" width="8.5"/>
    <col customWidth="1" min="6" max="6" width="16.0"/>
    <col customWidth="1" min="7" max="7" width="13.63"/>
    <col customWidth="1" min="8" max="8" width="10.75"/>
    <col customWidth="1" min="9" max="9" width="6.5"/>
    <col customWidth="1" min="11" max="11" width="11.75"/>
    <col customWidth="1" min="12" max="12" width="6.5"/>
    <col customWidth="1" min="13" max="13" width="5.63"/>
  </cols>
  <sheetData>
    <row r="1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K1" s="1" t="s">
        <v>9</v>
      </c>
      <c r="L1" s="1" t="s">
        <v>16</v>
      </c>
      <c r="M1" s="1" t="s">
        <v>1</v>
      </c>
    </row>
    <row r="2">
      <c r="A2" s="1" t="s">
        <v>17</v>
      </c>
      <c r="B2" s="1" t="s">
        <v>18</v>
      </c>
      <c r="C2" s="3">
        <v>1.0</v>
      </c>
      <c r="D2" s="4" t="s">
        <v>84</v>
      </c>
      <c r="E2" s="3">
        <v>16.0</v>
      </c>
      <c r="F2" s="4" t="s">
        <v>155</v>
      </c>
      <c r="G2" s="4" t="s">
        <v>84</v>
      </c>
      <c r="I2" s="2" t="b">
        <f t="shared" ref="I2:I64" si="1">G2=H2</f>
        <v>0</v>
      </c>
      <c r="K2" s="1" t="s">
        <v>18</v>
      </c>
      <c r="M2" s="2">
        <f>1*L2</f>
        <v>0</v>
      </c>
    </row>
    <row r="3">
      <c r="A3" s="1" t="s">
        <v>17</v>
      </c>
      <c r="B3" s="1" t="s">
        <v>18</v>
      </c>
      <c r="C3" s="3">
        <v>2.0</v>
      </c>
      <c r="D3" s="4" t="s">
        <v>143</v>
      </c>
      <c r="E3" s="3">
        <v>15.0</v>
      </c>
      <c r="F3" s="4" t="s">
        <v>43</v>
      </c>
      <c r="G3" s="4" t="s">
        <v>143</v>
      </c>
      <c r="I3" s="2" t="b">
        <f t="shared" si="1"/>
        <v>0</v>
      </c>
      <c r="K3" s="1" t="s">
        <v>7</v>
      </c>
      <c r="M3" s="2">
        <f>2*L3</f>
        <v>0</v>
      </c>
    </row>
    <row r="4">
      <c r="A4" s="1" t="s">
        <v>17</v>
      </c>
      <c r="B4" s="1" t="s">
        <v>18</v>
      </c>
      <c r="C4" s="3">
        <v>3.0</v>
      </c>
      <c r="D4" s="4" t="s">
        <v>48</v>
      </c>
      <c r="E4" s="3">
        <v>14.0</v>
      </c>
      <c r="F4" s="4" t="s">
        <v>172</v>
      </c>
      <c r="G4" s="4" t="s">
        <v>48</v>
      </c>
      <c r="I4" s="2" t="b">
        <f t="shared" si="1"/>
        <v>0</v>
      </c>
      <c r="K4" s="1" t="s">
        <v>6</v>
      </c>
      <c r="M4" s="2">
        <f>4*L4</f>
        <v>0</v>
      </c>
    </row>
    <row r="5">
      <c r="A5" s="1" t="s">
        <v>17</v>
      </c>
      <c r="B5" s="1" t="s">
        <v>18</v>
      </c>
      <c r="C5" s="3">
        <v>4.0</v>
      </c>
      <c r="D5" s="4" t="s">
        <v>125</v>
      </c>
      <c r="E5" s="3">
        <v>13.0</v>
      </c>
      <c r="F5" s="4" t="s">
        <v>173</v>
      </c>
      <c r="G5" s="4" t="s">
        <v>173</v>
      </c>
      <c r="I5" s="2" t="b">
        <f t="shared" si="1"/>
        <v>0</v>
      </c>
      <c r="K5" s="1" t="s">
        <v>5</v>
      </c>
      <c r="M5" s="2">
        <f>8*L5</f>
        <v>0</v>
      </c>
    </row>
    <row r="6">
      <c r="A6" s="1" t="s">
        <v>17</v>
      </c>
      <c r="B6" s="1" t="s">
        <v>18</v>
      </c>
      <c r="C6" s="3">
        <v>5.0</v>
      </c>
      <c r="D6" s="4" t="s">
        <v>34</v>
      </c>
      <c r="E6" s="3">
        <v>12.0</v>
      </c>
      <c r="F6" s="4" t="s">
        <v>124</v>
      </c>
      <c r="G6" s="4" t="s">
        <v>34</v>
      </c>
      <c r="I6" s="2" t="b">
        <f t="shared" si="1"/>
        <v>0</v>
      </c>
      <c r="K6" s="1" t="s">
        <v>4</v>
      </c>
      <c r="M6" s="2">
        <f>16*L6</f>
        <v>0</v>
      </c>
    </row>
    <row r="7">
      <c r="A7" s="1" t="s">
        <v>17</v>
      </c>
      <c r="B7" s="1" t="s">
        <v>18</v>
      </c>
      <c r="C7" s="3">
        <v>6.0</v>
      </c>
      <c r="D7" s="4" t="s">
        <v>134</v>
      </c>
      <c r="E7" s="3">
        <v>11.0</v>
      </c>
      <c r="F7" s="4" t="s">
        <v>47</v>
      </c>
      <c r="G7" s="4" t="s">
        <v>134</v>
      </c>
      <c r="I7" s="2" t="b">
        <f t="shared" si="1"/>
        <v>0</v>
      </c>
      <c r="K7" s="1" t="s">
        <v>3</v>
      </c>
      <c r="M7" s="2">
        <f>32*L7</f>
        <v>0</v>
      </c>
    </row>
    <row r="8">
      <c r="A8" s="1" t="s">
        <v>17</v>
      </c>
      <c r="B8" s="1" t="s">
        <v>18</v>
      </c>
      <c r="C8" s="3">
        <v>7.0</v>
      </c>
      <c r="D8" s="4" t="s">
        <v>61</v>
      </c>
      <c r="E8" s="3">
        <v>10.0</v>
      </c>
      <c r="F8" s="4" t="s">
        <v>64</v>
      </c>
      <c r="G8" s="4" t="s">
        <v>61</v>
      </c>
      <c r="I8" s="2" t="b">
        <f t="shared" si="1"/>
        <v>0</v>
      </c>
      <c r="L8" s="2">
        <f t="shared" ref="L8:M8" si="2">SUM(L2:L7)</f>
        <v>0</v>
      </c>
      <c r="M8" s="2">
        <f t="shared" si="2"/>
        <v>0</v>
      </c>
    </row>
    <row r="9">
      <c r="A9" s="1" t="s">
        <v>17</v>
      </c>
      <c r="B9" s="1" t="s">
        <v>18</v>
      </c>
      <c r="C9" s="3">
        <v>8.0</v>
      </c>
      <c r="D9" s="4" t="s">
        <v>51</v>
      </c>
      <c r="E9" s="3">
        <v>9.0</v>
      </c>
      <c r="F9" s="4" t="s">
        <v>46</v>
      </c>
      <c r="G9" s="4" t="s">
        <v>51</v>
      </c>
      <c r="I9" s="2" t="b">
        <f t="shared" si="1"/>
        <v>0</v>
      </c>
    </row>
    <row r="10">
      <c r="A10" s="1" t="s">
        <v>35</v>
      </c>
      <c r="B10" s="1" t="s">
        <v>18</v>
      </c>
      <c r="C10" s="3">
        <v>1.0</v>
      </c>
      <c r="D10" s="4" t="s">
        <v>27</v>
      </c>
      <c r="E10" s="3">
        <v>16.0</v>
      </c>
      <c r="F10" s="4" t="s">
        <v>167</v>
      </c>
      <c r="G10" s="4" t="s">
        <v>27</v>
      </c>
      <c r="I10" s="2" t="b">
        <f t="shared" si="1"/>
        <v>0</v>
      </c>
    </row>
    <row r="11">
      <c r="A11" s="1" t="s">
        <v>35</v>
      </c>
      <c r="B11" s="1" t="s">
        <v>18</v>
      </c>
      <c r="C11" s="3">
        <v>2.0</v>
      </c>
      <c r="D11" s="4" t="s">
        <v>55</v>
      </c>
      <c r="E11" s="3">
        <v>15.0</v>
      </c>
      <c r="F11" s="4" t="s">
        <v>146</v>
      </c>
      <c r="G11" s="4" t="s">
        <v>55</v>
      </c>
      <c r="I11" s="2" t="b">
        <f t="shared" si="1"/>
        <v>0</v>
      </c>
    </row>
    <row r="12">
      <c r="A12" s="1" t="s">
        <v>35</v>
      </c>
      <c r="B12" s="1" t="s">
        <v>18</v>
      </c>
      <c r="C12" s="3">
        <v>3.0</v>
      </c>
      <c r="D12" s="4" t="s">
        <v>116</v>
      </c>
      <c r="E12" s="3">
        <v>14.0</v>
      </c>
      <c r="F12" s="4" t="s">
        <v>174</v>
      </c>
      <c r="G12" s="4" t="s">
        <v>174</v>
      </c>
      <c r="I12" s="2" t="b">
        <f t="shared" si="1"/>
        <v>0</v>
      </c>
    </row>
    <row r="13">
      <c r="A13" s="1" t="s">
        <v>35</v>
      </c>
      <c r="B13" s="1" t="s">
        <v>18</v>
      </c>
      <c r="C13" s="3">
        <v>4.0</v>
      </c>
      <c r="D13" s="4" t="s">
        <v>175</v>
      </c>
      <c r="E13" s="3">
        <v>13.0</v>
      </c>
      <c r="F13" s="4" t="s">
        <v>176</v>
      </c>
      <c r="G13" s="4" t="s">
        <v>175</v>
      </c>
      <c r="I13" s="2" t="b">
        <f t="shared" si="1"/>
        <v>0</v>
      </c>
    </row>
    <row r="14">
      <c r="A14" s="1" t="s">
        <v>35</v>
      </c>
      <c r="B14" s="1" t="s">
        <v>18</v>
      </c>
      <c r="C14" s="3">
        <v>5.0</v>
      </c>
      <c r="D14" s="4" t="s">
        <v>110</v>
      </c>
      <c r="E14" s="3">
        <v>12.0</v>
      </c>
      <c r="F14" s="4" t="s">
        <v>177</v>
      </c>
      <c r="G14" s="4" t="s">
        <v>110</v>
      </c>
      <c r="I14" s="2" t="b">
        <f t="shared" si="1"/>
        <v>0</v>
      </c>
    </row>
    <row r="15">
      <c r="A15" s="1" t="s">
        <v>35</v>
      </c>
      <c r="B15" s="1" t="s">
        <v>18</v>
      </c>
      <c r="C15" s="3">
        <v>6.0</v>
      </c>
      <c r="D15" s="4" t="s">
        <v>63</v>
      </c>
      <c r="E15" s="3">
        <v>11.0</v>
      </c>
      <c r="F15" s="4" t="s">
        <v>82</v>
      </c>
      <c r="G15" s="4" t="s">
        <v>82</v>
      </c>
      <c r="I15" s="2" t="b">
        <f t="shared" si="1"/>
        <v>0</v>
      </c>
    </row>
    <row r="16">
      <c r="A16" s="1" t="s">
        <v>35</v>
      </c>
      <c r="B16" s="1" t="s">
        <v>18</v>
      </c>
      <c r="C16" s="3">
        <v>7.0</v>
      </c>
      <c r="D16" s="4" t="s">
        <v>88</v>
      </c>
      <c r="E16" s="3">
        <v>10.0</v>
      </c>
      <c r="F16" s="4" t="s">
        <v>42</v>
      </c>
      <c r="G16" s="4" t="s">
        <v>42</v>
      </c>
      <c r="I16" s="2" t="b">
        <f t="shared" si="1"/>
        <v>0</v>
      </c>
    </row>
    <row r="17">
      <c r="A17" s="1" t="s">
        <v>35</v>
      </c>
      <c r="B17" s="1" t="s">
        <v>18</v>
      </c>
      <c r="C17" s="3">
        <v>8.0</v>
      </c>
      <c r="D17" s="4" t="s">
        <v>171</v>
      </c>
      <c r="E17" s="3">
        <v>9.0</v>
      </c>
      <c r="F17" s="4" t="s">
        <v>178</v>
      </c>
      <c r="G17" s="4" t="s">
        <v>171</v>
      </c>
      <c r="I17" s="2" t="b">
        <f t="shared" si="1"/>
        <v>0</v>
      </c>
    </row>
    <row r="18">
      <c r="A18" s="1" t="s">
        <v>52</v>
      </c>
      <c r="B18" s="1" t="s">
        <v>18</v>
      </c>
      <c r="C18" s="3">
        <v>1.0</v>
      </c>
      <c r="D18" s="4" t="s">
        <v>68</v>
      </c>
      <c r="E18" s="3">
        <v>16.0</v>
      </c>
      <c r="F18" s="4" t="s">
        <v>179</v>
      </c>
      <c r="G18" s="4" t="s">
        <v>68</v>
      </c>
      <c r="I18" s="2" t="b">
        <f t="shared" si="1"/>
        <v>0</v>
      </c>
    </row>
    <row r="19">
      <c r="A19" s="1" t="s">
        <v>52</v>
      </c>
      <c r="B19" s="1" t="s">
        <v>18</v>
      </c>
      <c r="C19" s="3">
        <v>2.0</v>
      </c>
      <c r="D19" s="4" t="s">
        <v>164</v>
      </c>
      <c r="E19" s="3">
        <v>15.0</v>
      </c>
      <c r="F19" s="4" t="s">
        <v>132</v>
      </c>
      <c r="G19" s="4" t="s">
        <v>132</v>
      </c>
      <c r="I19" s="2" t="b">
        <f t="shared" si="1"/>
        <v>0</v>
      </c>
    </row>
    <row r="20">
      <c r="A20" s="1" t="s">
        <v>52</v>
      </c>
      <c r="B20" s="1" t="s">
        <v>18</v>
      </c>
      <c r="C20" s="3">
        <v>3.0</v>
      </c>
      <c r="D20" s="4" t="s">
        <v>49</v>
      </c>
      <c r="E20" s="3">
        <v>14.0</v>
      </c>
      <c r="F20" s="4" t="s">
        <v>100</v>
      </c>
      <c r="G20" s="4" t="s">
        <v>49</v>
      </c>
      <c r="I20" s="2" t="b">
        <f t="shared" si="1"/>
        <v>0</v>
      </c>
    </row>
    <row r="21">
      <c r="A21" s="1" t="s">
        <v>52</v>
      </c>
      <c r="B21" s="1" t="s">
        <v>18</v>
      </c>
      <c r="C21" s="3">
        <v>4.0</v>
      </c>
      <c r="D21" s="4" t="s">
        <v>76</v>
      </c>
      <c r="E21" s="3">
        <v>13.0</v>
      </c>
      <c r="F21" s="4" t="s">
        <v>180</v>
      </c>
      <c r="G21" s="4" t="s">
        <v>180</v>
      </c>
      <c r="I21" s="2" t="b">
        <f t="shared" si="1"/>
        <v>0</v>
      </c>
    </row>
    <row r="22">
      <c r="A22" s="1" t="s">
        <v>52</v>
      </c>
      <c r="B22" s="1" t="s">
        <v>18</v>
      </c>
      <c r="C22" s="3">
        <v>5.0</v>
      </c>
      <c r="D22" s="4" t="s">
        <v>160</v>
      </c>
      <c r="E22" s="3">
        <v>12.0</v>
      </c>
      <c r="F22" s="4" t="s">
        <v>181</v>
      </c>
      <c r="G22" s="4" t="s">
        <v>160</v>
      </c>
      <c r="I22" s="2" t="b">
        <f t="shared" si="1"/>
        <v>0</v>
      </c>
    </row>
    <row r="23">
      <c r="A23" s="1" t="s">
        <v>52</v>
      </c>
      <c r="B23" s="1" t="s">
        <v>18</v>
      </c>
      <c r="C23" s="3">
        <v>6.0</v>
      </c>
      <c r="D23" s="4" t="s">
        <v>40</v>
      </c>
      <c r="E23" s="3">
        <v>11.0</v>
      </c>
      <c r="F23" s="4" t="s">
        <v>121</v>
      </c>
      <c r="G23" s="4" t="s">
        <v>40</v>
      </c>
      <c r="I23" s="2" t="b">
        <f t="shared" si="1"/>
        <v>0</v>
      </c>
    </row>
    <row r="24">
      <c r="A24" s="1" t="s">
        <v>52</v>
      </c>
      <c r="B24" s="1" t="s">
        <v>18</v>
      </c>
      <c r="C24" s="3">
        <v>7.0</v>
      </c>
      <c r="D24" s="4" t="s">
        <v>36</v>
      </c>
      <c r="E24" s="3">
        <v>10.0</v>
      </c>
      <c r="F24" s="4" t="s">
        <v>156</v>
      </c>
      <c r="G24" s="4" t="s">
        <v>36</v>
      </c>
      <c r="I24" s="2" t="b">
        <f t="shared" si="1"/>
        <v>0</v>
      </c>
    </row>
    <row r="25">
      <c r="A25" s="1" t="s">
        <v>52</v>
      </c>
      <c r="B25" s="1" t="s">
        <v>18</v>
      </c>
      <c r="C25" s="3">
        <v>8.0</v>
      </c>
      <c r="D25" s="4" t="s">
        <v>30</v>
      </c>
      <c r="E25" s="3">
        <v>9.0</v>
      </c>
      <c r="F25" s="4" t="s">
        <v>57</v>
      </c>
      <c r="G25" s="4" t="s">
        <v>57</v>
      </c>
      <c r="I25" s="2" t="b">
        <f t="shared" si="1"/>
        <v>0</v>
      </c>
    </row>
    <row r="26">
      <c r="A26" s="1" t="s">
        <v>69</v>
      </c>
      <c r="B26" s="1" t="s">
        <v>18</v>
      </c>
      <c r="C26" s="3">
        <v>1.0</v>
      </c>
      <c r="D26" s="4" t="s">
        <v>80</v>
      </c>
      <c r="E26" s="3">
        <v>16.0</v>
      </c>
      <c r="F26" s="4" t="s">
        <v>182</v>
      </c>
      <c r="G26" s="4" t="s">
        <v>80</v>
      </c>
      <c r="I26" s="2" t="b">
        <f t="shared" si="1"/>
        <v>0</v>
      </c>
    </row>
    <row r="27">
      <c r="A27" s="1" t="s">
        <v>69</v>
      </c>
      <c r="B27" s="1" t="s">
        <v>18</v>
      </c>
      <c r="C27" s="3">
        <v>2.0</v>
      </c>
      <c r="D27" s="4" t="s">
        <v>70</v>
      </c>
      <c r="E27" s="3">
        <v>15.0</v>
      </c>
      <c r="F27" s="4" t="s">
        <v>183</v>
      </c>
      <c r="G27" s="4" t="s">
        <v>70</v>
      </c>
      <c r="I27" s="2" t="b">
        <f t="shared" si="1"/>
        <v>0</v>
      </c>
    </row>
    <row r="28">
      <c r="A28" s="1" t="s">
        <v>69</v>
      </c>
      <c r="B28" s="1" t="s">
        <v>18</v>
      </c>
      <c r="C28" s="3">
        <v>3.0</v>
      </c>
      <c r="D28" s="4" t="s">
        <v>127</v>
      </c>
      <c r="E28" s="3">
        <v>14.0</v>
      </c>
      <c r="F28" s="4" t="s">
        <v>184</v>
      </c>
      <c r="G28" s="4" t="s">
        <v>127</v>
      </c>
      <c r="I28" s="2" t="b">
        <f t="shared" si="1"/>
        <v>0</v>
      </c>
    </row>
    <row r="29">
      <c r="A29" s="1" t="s">
        <v>69</v>
      </c>
      <c r="B29" s="1" t="s">
        <v>18</v>
      </c>
      <c r="C29" s="3">
        <v>4.0</v>
      </c>
      <c r="D29" s="4" t="s">
        <v>185</v>
      </c>
      <c r="E29" s="3">
        <v>13.0</v>
      </c>
      <c r="F29" s="4" t="s">
        <v>62</v>
      </c>
      <c r="G29" s="4" t="s">
        <v>185</v>
      </c>
      <c r="I29" s="2" t="b">
        <f t="shared" si="1"/>
        <v>0</v>
      </c>
    </row>
    <row r="30">
      <c r="A30" s="1" t="s">
        <v>69</v>
      </c>
      <c r="B30" s="1" t="s">
        <v>18</v>
      </c>
      <c r="C30" s="3">
        <v>5.0</v>
      </c>
      <c r="D30" s="4" t="s">
        <v>72</v>
      </c>
      <c r="E30" s="3">
        <v>12.0</v>
      </c>
      <c r="F30" s="4" t="s">
        <v>186</v>
      </c>
      <c r="G30" s="4" t="s">
        <v>186</v>
      </c>
      <c r="I30" s="2" t="b">
        <f t="shared" si="1"/>
        <v>0</v>
      </c>
    </row>
    <row r="31">
      <c r="A31" s="1" t="s">
        <v>69</v>
      </c>
      <c r="B31" s="1" t="s">
        <v>18</v>
      </c>
      <c r="C31" s="3">
        <v>6.0</v>
      </c>
      <c r="D31" s="4" t="s">
        <v>149</v>
      </c>
      <c r="E31" s="3">
        <v>11.0</v>
      </c>
      <c r="F31" s="4" t="s">
        <v>187</v>
      </c>
      <c r="G31" s="4" t="s">
        <v>187</v>
      </c>
      <c r="I31" s="2" t="b">
        <f t="shared" si="1"/>
        <v>0</v>
      </c>
    </row>
    <row r="32">
      <c r="A32" s="1" t="s">
        <v>69</v>
      </c>
      <c r="B32" s="1" t="s">
        <v>18</v>
      </c>
      <c r="C32" s="3">
        <v>7.0</v>
      </c>
      <c r="D32" s="4" t="s">
        <v>78</v>
      </c>
      <c r="E32" s="3">
        <v>10.0</v>
      </c>
      <c r="F32" s="4" t="s">
        <v>188</v>
      </c>
      <c r="G32" s="4" t="s">
        <v>188</v>
      </c>
      <c r="I32" s="2" t="b">
        <f t="shared" si="1"/>
        <v>0</v>
      </c>
    </row>
    <row r="33">
      <c r="A33" s="1" t="s">
        <v>69</v>
      </c>
      <c r="B33" s="1" t="s">
        <v>18</v>
      </c>
      <c r="C33" s="3">
        <v>8.0</v>
      </c>
      <c r="D33" s="4" t="s">
        <v>165</v>
      </c>
      <c r="E33" s="3">
        <v>9.0</v>
      </c>
      <c r="F33" s="4" t="s">
        <v>189</v>
      </c>
      <c r="G33" s="4" t="s">
        <v>165</v>
      </c>
      <c r="I33" s="2" t="b">
        <f t="shared" si="1"/>
        <v>0</v>
      </c>
    </row>
    <row r="34">
      <c r="A34" s="1" t="s">
        <v>17</v>
      </c>
      <c r="B34" s="1" t="s">
        <v>7</v>
      </c>
      <c r="C34" s="3">
        <v>1.0</v>
      </c>
      <c r="D34" s="4" t="s">
        <v>84</v>
      </c>
      <c r="E34" s="1">
        <v>8.0</v>
      </c>
      <c r="F34" s="1" t="s">
        <v>51</v>
      </c>
      <c r="G34" s="1" t="s">
        <v>84</v>
      </c>
      <c r="I34" s="2" t="b">
        <f t="shared" si="1"/>
        <v>0</v>
      </c>
    </row>
    <row r="35">
      <c r="A35" s="1" t="s">
        <v>17</v>
      </c>
      <c r="B35" s="1" t="s">
        <v>7</v>
      </c>
      <c r="C35" s="3">
        <v>2.0</v>
      </c>
      <c r="D35" s="4" t="s">
        <v>143</v>
      </c>
      <c r="E35" s="1">
        <v>7.0</v>
      </c>
      <c r="F35" s="1" t="s">
        <v>61</v>
      </c>
      <c r="G35" s="1" t="s">
        <v>61</v>
      </c>
      <c r="I35" s="2" t="b">
        <f t="shared" si="1"/>
        <v>0</v>
      </c>
    </row>
    <row r="36">
      <c r="A36" s="1" t="s">
        <v>17</v>
      </c>
      <c r="B36" s="1" t="s">
        <v>7</v>
      </c>
      <c r="C36" s="3">
        <v>3.0</v>
      </c>
      <c r="D36" s="4" t="s">
        <v>48</v>
      </c>
      <c r="E36" s="1">
        <v>6.0</v>
      </c>
      <c r="F36" s="1" t="s">
        <v>134</v>
      </c>
      <c r="G36" s="1" t="s">
        <v>134</v>
      </c>
      <c r="I36" s="2" t="b">
        <f t="shared" si="1"/>
        <v>0</v>
      </c>
    </row>
    <row r="37">
      <c r="A37" s="1" t="s">
        <v>17</v>
      </c>
      <c r="B37" s="1" t="s">
        <v>7</v>
      </c>
      <c r="C37" s="3">
        <v>5.0</v>
      </c>
      <c r="D37" s="4" t="s">
        <v>34</v>
      </c>
      <c r="E37" s="3">
        <v>13.0</v>
      </c>
      <c r="F37" s="4" t="s">
        <v>173</v>
      </c>
      <c r="G37" s="1" t="s">
        <v>34</v>
      </c>
      <c r="I37" s="2" t="b">
        <f t="shared" si="1"/>
        <v>0</v>
      </c>
    </row>
    <row r="38">
      <c r="A38" s="1" t="s">
        <v>35</v>
      </c>
      <c r="B38" s="1" t="s">
        <v>7</v>
      </c>
      <c r="C38" s="3">
        <v>1.0</v>
      </c>
      <c r="D38" s="4" t="s">
        <v>27</v>
      </c>
      <c r="E38" s="3">
        <v>8.0</v>
      </c>
      <c r="F38" s="4" t="s">
        <v>171</v>
      </c>
      <c r="G38" s="4" t="s">
        <v>27</v>
      </c>
      <c r="I38" s="2" t="b">
        <f t="shared" si="1"/>
        <v>0</v>
      </c>
    </row>
    <row r="39">
      <c r="A39" s="1" t="s">
        <v>35</v>
      </c>
      <c r="B39" s="1" t="s">
        <v>7</v>
      </c>
      <c r="C39" s="3">
        <v>2.0</v>
      </c>
      <c r="D39" s="4" t="s">
        <v>55</v>
      </c>
      <c r="E39" s="3">
        <v>10.0</v>
      </c>
      <c r="F39" s="4" t="s">
        <v>42</v>
      </c>
      <c r="G39" s="4" t="s">
        <v>55</v>
      </c>
      <c r="I39" s="2" t="b">
        <f t="shared" si="1"/>
        <v>0</v>
      </c>
    </row>
    <row r="40">
      <c r="A40" s="1" t="s">
        <v>35</v>
      </c>
      <c r="B40" s="1" t="s">
        <v>7</v>
      </c>
      <c r="C40" s="1">
        <v>11.0</v>
      </c>
      <c r="D40" s="1" t="s">
        <v>82</v>
      </c>
      <c r="E40" s="1">
        <v>14.0</v>
      </c>
      <c r="F40" s="1" t="s">
        <v>174</v>
      </c>
      <c r="G40" s="1" t="s">
        <v>82</v>
      </c>
      <c r="I40" s="2" t="b">
        <f t="shared" si="1"/>
        <v>0</v>
      </c>
    </row>
    <row r="41">
      <c r="A41" s="1" t="s">
        <v>35</v>
      </c>
      <c r="B41" s="1" t="s">
        <v>7</v>
      </c>
      <c r="C41" s="1">
        <v>4.0</v>
      </c>
      <c r="D41" s="1" t="s">
        <v>175</v>
      </c>
      <c r="E41" s="1">
        <v>5.0</v>
      </c>
      <c r="F41" s="1" t="s">
        <v>110</v>
      </c>
      <c r="G41" s="1" t="s">
        <v>175</v>
      </c>
      <c r="I41" s="2" t="b">
        <f t="shared" si="1"/>
        <v>0</v>
      </c>
    </row>
    <row r="42">
      <c r="A42" s="1" t="s">
        <v>52</v>
      </c>
      <c r="B42" s="1" t="s">
        <v>7</v>
      </c>
      <c r="C42" s="1">
        <v>1.0</v>
      </c>
      <c r="D42" s="1" t="s">
        <v>68</v>
      </c>
      <c r="E42" s="1">
        <v>9.0</v>
      </c>
      <c r="F42" s="1" t="s">
        <v>57</v>
      </c>
      <c r="G42" s="1" t="s">
        <v>68</v>
      </c>
      <c r="I42" s="2" t="b">
        <f t="shared" si="1"/>
        <v>0</v>
      </c>
    </row>
    <row r="43">
      <c r="A43" s="1" t="s">
        <v>52</v>
      </c>
      <c r="B43" s="1" t="s">
        <v>7</v>
      </c>
      <c r="C43" s="1">
        <v>7.0</v>
      </c>
      <c r="D43" s="1" t="s">
        <v>36</v>
      </c>
      <c r="E43" s="1">
        <v>15.0</v>
      </c>
      <c r="F43" s="1" t="s">
        <v>132</v>
      </c>
      <c r="G43" s="1" t="s">
        <v>132</v>
      </c>
      <c r="I43" s="2" t="b">
        <f t="shared" si="1"/>
        <v>0</v>
      </c>
    </row>
    <row r="44">
      <c r="A44" s="1" t="s">
        <v>52</v>
      </c>
      <c r="B44" s="1" t="s">
        <v>7</v>
      </c>
      <c r="C44" s="1">
        <v>3.0</v>
      </c>
      <c r="D44" s="1" t="s">
        <v>49</v>
      </c>
      <c r="E44" s="1">
        <v>6.0</v>
      </c>
      <c r="F44" s="1" t="s">
        <v>40</v>
      </c>
      <c r="G44" s="1" t="s">
        <v>49</v>
      </c>
      <c r="I44" s="2" t="b">
        <f t="shared" si="1"/>
        <v>0</v>
      </c>
    </row>
    <row r="45">
      <c r="A45" s="1" t="s">
        <v>52</v>
      </c>
      <c r="B45" s="1" t="s">
        <v>7</v>
      </c>
      <c r="C45" s="1">
        <v>5.0</v>
      </c>
      <c r="D45" s="1" t="s">
        <v>160</v>
      </c>
      <c r="E45" s="1">
        <v>13.0</v>
      </c>
      <c r="F45" s="1" t="s">
        <v>180</v>
      </c>
      <c r="G45" s="1" t="s">
        <v>160</v>
      </c>
      <c r="I45" s="2" t="b">
        <f t="shared" si="1"/>
        <v>0</v>
      </c>
    </row>
    <row r="46">
      <c r="A46" s="1" t="s">
        <v>69</v>
      </c>
      <c r="B46" s="1" t="s">
        <v>7</v>
      </c>
      <c r="C46" s="1">
        <v>1.0</v>
      </c>
      <c r="D46" s="1" t="s">
        <v>80</v>
      </c>
      <c r="E46" s="1">
        <v>8.0</v>
      </c>
      <c r="F46" s="1" t="s">
        <v>165</v>
      </c>
      <c r="G46" s="1" t="s">
        <v>165</v>
      </c>
      <c r="I46" s="2" t="b">
        <f t="shared" si="1"/>
        <v>0</v>
      </c>
    </row>
    <row r="47">
      <c r="A47" s="1" t="s">
        <v>69</v>
      </c>
      <c r="B47" s="1" t="s">
        <v>7</v>
      </c>
      <c r="C47" s="1">
        <v>2.0</v>
      </c>
      <c r="D47" s="1" t="s">
        <v>70</v>
      </c>
      <c r="E47" s="1">
        <v>10.0</v>
      </c>
      <c r="F47" s="1" t="s">
        <v>188</v>
      </c>
      <c r="G47" s="1" t="s">
        <v>70</v>
      </c>
      <c r="I47" s="2" t="b">
        <f t="shared" si="1"/>
        <v>0</v>
      </c>
    </row>
    <row r="48">
      <c r="A48" s="1" t="s">
        <v>69</v>
      </c>
      <c r="B48" s="1" t="s">
        <v>7</v>
      </c>
      <c r="C48" s="1">
        <v>3.0</v>
      </c>
      <c r="D48" s="1" t="s">
        <v>127</v>
      </c>
      <c r="E48" s="1">
        <v>11.0</v>
      </c>
      <c r="F48" s="1" t="s">
        <v>187</v>
      </c>
      <c r="G48" s="1" t="s">
        <v>187</v>
      </c>
      <c r="I48" s="2" t="b">
        <f t="shared" si="1"/>
        <v>0</v>
      </c>
    </row>
    <row r="49">
      <c r="A49" s="1" t="s">
        <v>69</v>
      </c>
      <c r="B49" s="1" t="s">
        <v>7</v>
      </c>
      <c r="C49" s="1">
        <v>4.0</v>
      </c>
      <c r="D49" s="1" t="s">
        <v>185</v>
      </c>
      <c r="E49" s="1">
        <v>12.0</v>
      </c>
      <c r="F49" s="1" t="s">
        <v>186</v>
      </c>
      <c r="G49" s="1" t="s">
        <v>186</v>
      </c>
      <c r="I49" s="2" t="b">
        <f t="shared" si="1"/>
        <v>0</v>
      </c>
    </row>
    <row r="50">
      <c r="A50" s="1" t="s">
        <v>17</v>
      </c>
      <c r="B50" s="1" t="s">
        <v>6</v>
      </c>
      <c r="C50" s="3">
        <v>1.0</v>
      </c>
      <c r="D50" s="4" t="s">
        <v>84</v>
      </c>
      <c r="E50" s="3">
        <v>5.0</v>
      </c>
      <c r="F50" s="4" t="s">
        <v>34</v>
      </c>
      <c r="G50" s="4" t="s">
        <v>84</v>
      </c>
      <c r="I50" s="2" t="b">
        <f t="shared" si="1"/>
        <v>0</v>
      </c>
    </row>
    <row r="51">
      <c r="A51" s="1" t="s">
        <v>17</v>
      </c>
      <c r="B51" s="1" t="s">
        <v>6</v>
      </c>
      <c r="C51" s="3">
        <v>2.0</v>
      </c>
      <c r="D51" s="4" t="s">
        <v>143</v>
      </c>
      <c r="E51" s="1">
        <v>6.0</v>
      </c>
      <c r="F51" s="1" t="s">
        <v>134</v>
      </c>
      <c r="G51" s="1" t="s">
        <v>134</v>
      </c>
      <c r="I51" s="2" t="b">
        <f t="shared" si="1"/>
        <v>0</v>
      </c>
    </row>
    <row r="52">
      <c r="A52" s="1" t="s">
        <v>35</v>
      </c>
      <c r="B52" s="1" t="s">
        <v>6</v>
      </c>
      <c r="C52" s="3">
        <v>1.0</v>
      </c>
      <c r="D52" s="4" t="s">
        <v>27</v>
      </c>
      <c r="E52" s="3">
        <v>4.0</v>
      </c>
      <c r="F52" s="4" t="s">
        <v>175</v>
      </c>
      <c r="G52" s="4" t="s">
        <v>27</v>
      </c>
      <c r="I52" s="2" t="b">
        <f t="shared" si="1"/>
        <v>0</v>
      </c>
    </row>
    <row r="53">
      <c r="A53" s="1" t="s">
        <v>35</v>
      </c>
      <c r="B53" s="1" t="s">
        <v>6</v>
      </c>
      <c r="C53" s="3">
        <v>2.0</v>
      </c>
      <c r="D53" s="4" t="s">
        <v>55</v>
      </c>
      <c r="E53" s="3">
        <v>11.0</v>
      </c>
      <c r="F53" s="4" t="s">
        <v>82</v>
      </c>
      <c r="G53" s="4" t="s">
        <v>82</v>
      </c>
      <c r="I53" s="2" t="b">
        <f t="shared" si="1"/>
        <v>0</v>
      </c>
    </row>
    <row r="54">
      <c r="A54" s="1" t="s">
        <v>52</v>
      </c>
      <c r="B54" s="1" t="s">
        <v>6</v>
      </c>
      <c r="C54" s="1">
        <v>1.0</v>
      </c>
      <c r="D54" s="1" t="s">
        <v>68</v>
      </c>
      <c r="E54" s="1">
        <v>5.0</v>
      </c>
      <c r="F54" s="1" t="s">
        <v>160</v>
      </c>
      <c r="G54" s="1" t="s">
        <v>68</v>
      </c>
      <c r="I54" s="2" t="b">
        <f t="shared" si="1"/>
        <v>0</v>
      </c>
    </row>
    <row r="55">
      <c r="A55" s="1" t="s">
        <v>52</v>
      </c>
      <c r="B55" s="1" t="s">
        <v>6</v>
      </c>
      <c r="C55" s="1">
        <v>3.0</v>
      </c>
      <c r="D55" s="1" t="s">
        <v>49</v>
      </c>
      <c r="E55" s="1">
        <v>15.0</v>
      </c>
      <c r="F55" s="1" t="s">
        <v>132</v>
      </c>
      <c r="G55" s="1" t="s">
        <v>49</v>
      </c>
      <c r="I55" s="2" t="b">
        <f t="shared" si="1"/>
        <v>0</v>
      </c>
    </row>
    <row r="56">
      <c r="A56" s="1" t="s">
        <v>69</v>
      </c>
      <c r="B56" s="1" t="s">
        <v>6</v>
      </c>
      <c r="C56" s="1">
        <v>8.0</v>
      </c>
      <c r="D56" s="1" t="s">
        <v>165</v>
      </c>
      <c r="E56" s="1">
        <v>12.0</v>
      </c>
      <c r="F56" s="1" t="s">
        <v>186</v>
      </c>
      <c r="G56" s="1" t="s">
        <v>186</v>
      </c>
      <c r="I56" s="2" t="b">
        <f t="shared" si="1"/>
        <v>0</v>
      </c>
    </row>
    <row r="57">
      <c r="A57" s="1" t="s">
        <v>69</v>
      </c>
      <c r="B57" s="1" t="s">
        <v>6</v>
      </c>
      <c r="C57" s="1">
        <v>2.0</v>
      </c>
      <c r="D57" s="1" t="s">
        <v>70</v>
      </c>
      <c r="E57" s="1">
        <v>11.0</v>
      </c>
      <c r="F57" s="1" t="s">
        <v>187</v>
      </c>
      <c r="G57" s="1" t="s">
        <v>70</v>
      </c>
      <c r="I57" s="2" t="b">
        <f t="shared" si="1"/>
        <v>0</v>
      </c>
    </row>
    <row r="58">
      <c r="A58" s="1" t="s">
        <v>17</v>
      </c>
      <c r="B58" s="1" t="s">
        <v>5</v>
      </c>
      <c r="C58" s="3">
        <v>1.0</v>
      </c>
      <c r="D58" s="4" t="s">
        <v>84</v>
      </c>
      <c r="E58" s="1">
        <v>6.0</v>
      </c>
      <c r="F58" s="1" t="s">
        <v>134</v>
      </c>
      <c r="G58" s="4" t="s">
        <v>84</v>
      </c>
      <c r="I58" s="2" t="b">
        <f t="shared" si="1"/>
        <v>0</v>
      </c>
    </row>
    <row r="59">
      <c r="A59" s="1" t="s">
        <v>35</v>
      </c>
      <c r="B59" s="1" t="s">
        <v>5</v>
      </c>
      <c r="C59" s="3">
        <v>1.0</v>
      </c>
      <c r="D59" s="4" t="s">
        <v>27</v>
      </c>
      <c r="E59" s="3">
        <v>11.0</v>
      </c>
      <c r="F59" s="4" t="s">
        <v>82</v>
      </c>
      <c r="G59" s="4" t="s">
        <v>82</v>
      </c>
      <c r="I59" s="2" t="b">
        <f t="shared" si="1"/>
        <v>0</v>
      </c>
    </row>
    <row r="60">
      <c r="A60" s="1" t="s">
        <v>52</v>
      </c>
      <c r="B60" s="1" t="s">
        <v>5</v>
      </c>
      <c r="C60" s="1">
        <v>1.0</v>
      </c>
      <c r="D60" s="1" t="s">
        <v>68</v>
      </c>
      <c r="E60" s="1">
        <v>3.0</v>
      </c>
      <c r="F60" s="1" t="s">
        <v>49</v>
      </c>
      <c r="G60" s="1" t="s">
        <v>68</v>
      </c>
      <c r="I60" s="2" t="b">
        <f t="shared" si="1"/>
        <v>0</v>
      </c>
    </row>
    <row r="61">
      <c r="A61" s="1" t="s">
        <v>69</v>
      </c>
      <c r="B61" s="1" t="s">
        <v>5</v>
      </c>
      <c r="C61" s="1">
        <v>2.0</v>
      </c>
      <c r="D61" s="1" t="s">
        <v>70</v>
      </c>
      <c r="E61" s="1">
        <v>12.0</v>
      </c>
      <c r="F61" s="1" t="s">
        <v>186</v>
      </c>
      <c r="G61" s="1" t="s">
        <v>70</v>
      </c>
      <c r="I61" s="2" t="b">
        <f t="shared" si="1"/>
        <v>0</v>
      </c>
    </row>
    <row r="62">
      <c r="A62" s="1" t="s">
        <v>4</v>
      </c>
      <c r="B62" s="1" t="s">
        <v>4</v>
      </c>
      <c r="C62" s="3">
        <v>1.0</v>
      </c>
      <c r="D62" s="4" t="s">
        <v>84</v>
      </c>
      <c r="E62" s="1">
        <v>11.0</v>
      </c>
      <c r="F62" s="1" t="s">
        <v>82</v>
      </c>
      <c r="G62" s="1" t="s">
        <v>84</v>
      </c>
      <c r="I62" s="2" t="b">
        <f t="shared" si="1"/>
        <v>0</v>
      </c>
    </row>
    <row r="63">
      <c r="A63" s="1" t="s">
        <v>4</v>
      </c>
      <c r="B63" s="1" t="s">
        <v>4</v>
      </c>
      <c r="C63" s="1">
        <v>1.0</v>
      </c>
      <c r="D63" s="1" t="s">
        <v>68</v>
      </c>
      <c r="E63" s="1">
        <v>2.0</v>
      </c>
      <c r="F63" s="1" t="s">
        <v>70</v>
      </c>
      <c r="G63" s="1" t="s">
        <v>68</v>
      </c>
      <c r="I63" s="2" t="b">
        <f t="shared" si="1"/>
        <v>0</v>
      </c>
    </row>
    <row r="64">
      <c r="A64" s="1" t="s">
        <v>4</v>
      </c>
      <c r="B64" s="1" t="s">
        <v>3</v>
      </c>
      <c r="C64" s="3">
        <v>1.0</v>
      </c>
      <c r="D64" s="4" t="s">
        <v>84</v>
      </c>
      <c r="E64" s="1">
        <v>1.0</v>
      </c>
      <c r="F64" s="1" t="s">
        <v>68</v>
      </c>
      <c r="G64" s="1" t="s">
        <v>68</v>
      </c>
      <c r="I64" s="2" t="b">
        <f t="shared" si="1"/>
        <v>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11.75"/>
    <col customWidth="1" min="3" max="3" width="8.88"/>
    <col customWidth="1" min="4" max="4" width="11.75"/>
    <col customWidth="1" min="5" max="5" width="8.5"/>
    <col customWidth="1" min="6" max="6" width="15.13"/>
    <col customWidth="1" min="7" max="7" width="11.75"/>
    <col customWidth="1" min="8" max="8" width="10.75"/>
    <col customWidth="1" min="9" max="9" width="6.5"/>
    <col customWidth="1" min="11" max="11" width="11.75"/>
    <col customWidth="1" min="12" max="12" width="6.5"/>
    <col customWidth="1" min="13" max="13" width="5.63"/>
  </cols>
  <sheetData>
    <row r="1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K1" s="1" t="s">
        <v>9</v>
      </c>
      <c r="L1" s="1" t="s">
        <v>16</v>
      </c>
      <c r="M1" s="1" t="s">
        <v>1</v>
      </c>
    </row>
    <row r="2">
      <c r="A2" s="1" t="s">
        <v>17</v>
      </c>
      <c r="B2" s="1" t="s">
        <v>18</v>
      </c>
      <c r="C2" s="3">
        <v>1.0</v>
      </c>
      <c r="D2" s="4" t="s">
        <v>53</v>
      </c>
      <c r="E2" s="3">
        <v>16.0</v>
      </c>
      <c r="F2" s="4" t="s">
        <v>190</v>
      </c>
      <c r="G2" s="4" t="s">
        <v>53</v>
      </c>
      <c r="I2" s="2" t="b">
        <f t="shared" ref="I2:I64" si="1">G2=H2</f>
        <v>0</v>
      </c>
      <c r="K2" s="1" t="s">
        <v>18</v>
      </c>
      <c r="M2" s="2">
        <f>1*L2</f>
        <v>0</v>
      </c>
    </row>
    <row r="3">
      <c r="A3" s="1" t="s">
        <v>17</v>
      </c>
      <c r="B3" s="1" t="s">
        <v>18</v>
      </c>
      <c r="C3" s="3">
        <v>2.0</v>
      </c>
      <c r="D3" s="4" t="s">
        <v>86</v>
      </c>
      <c r="E3" s="3">
        <v>15.0</v>
      </c>
      <c r="F3" s="4" t="s">
        <v>191</v>
      </c>
      <c r="G3" s="4" t="s">
        <v>86</v>
      </c>
      <c r="I3" s="2" t="b">
        <f t="shared" si="1"/>
        <v>0</v>
      </c>
      <c r="K3" s="1" t="s">
        <v>7</v>
      </c>
      <c r="M3" s="2">
        <f>2*L3</f>
        <v>0</v>
      </c>
    </row>
    <row r="4">
      <c r="A4" s="1" t="s">
        <v>17</v>
      </c>
      <c r="B4" s="1" t="s">
        <v>18</v>
      </c>
      <c r="C4" s="3">
        <v>3.0</v>
      </c>
      <c r="D4" s="4" t="s">
        <v>171</v>
      </c>
      <c r="E4" s="3">
        <v>14.0</v>
      </c>
      <c r="F4" s="4" t="s">
        <v>26</v>
      </c>
      <c r="G4" s="4" t="s">
        <v>171</v>
      </c>
      <c r="I4" s="2" t="b">
        <f t="shared" si="1"/>
        <v>0</v>
      </c>
      <c r="K4" s="1" t="s">
        <v>6</v>
      </c>
      <c r="M4" s="2">
        <f>4*L4</f>
        <v>0</v>
      </c>
    </row>
    <row r="5">
      <c r="A5" s="1" t="s">
        <v>17</v>
      </c>
      <c r="B5" s="1" t="s">
        <v>18</v>
      </c>
      <c r="C5" s="3">
        <v>4.0</v>
      </c>
      <c r="D5" s="4" t="s">
        <v>156</v>
      </c>
      <c r="E5" s="3">
        <v>13.0</v>
      </c>
      <c r="F5" s="4" t="s">
        <v>192</v>
      </c>
      <c r="G5" s="4" t="s">
        <v>156</v>
      </c>
      <c r="I5" s="2" t="b">
        <f t="shared" si="1"/>
        <v>0</v>
      </c>
      <c r="K5" s="1" t="s">
        <v>5</v>
      </c>
      <c r="M5" s="2">
        <f>8*L5</f>
        <v>0</v>
      </c>
    </row>
    <row r="6">
      <c r="A6" s="1" t="s">
        <v>17</v>
      </c>
      <c r="B6" s="1" t="s">
        <v>18</v>
      </c>
      <c r="C6" s="3">
        <v>5.0</v>
      </c>
      <c r="D6" s="4" t="s">
        <v>193</v>
      </c>
      <c r="E6" s="3">
        <v>12.0</v>
      </c>
      <c r="F6" s="4" t="s">
        <v>62</v>
      </c>
      <c r="G6" s="4" t="s">
        <v>62</v>
      </c>
      <c r="I6" s="2" t="b">
        <f t="shared" si="1"/>
        <v>0</v>
      </c>
      <c r="K6" s="1" t="s">
        <v>4</v>
      </c>
      <c r="M6" s="2">
        <f>16*L6</f>
        <v>0</v>
      </c>
    </row>
    <row r="7">
      <c r="A7" s="1" t="s">
        <v>17</v>
      </c>
      <c r="B7" s="1" t="s">
        <v>18</v>
      </c>
      <c r="C7" s="3">
        <v>6.0</v>
      </c>
      <c r="D7" s="4" t="s">
        <v>42</v>
      </c>
      <c r="E7" s="3">
        <v>11.0</v>
      </c>
      <c r="F7" s="4" t="s">
        <v>194</v>
      </c>
      <c r="G7" s="4" t="s">
        <v>42</v>
      </c>
      <c r="I7" s="2" t="b">
        <f t="shared" si="1"/>
        <v>0</v>
      </c>
      <c r="K7" s="1" t="s">
        <v>3</v>
      </c>
      <c r="M7" s="2">
        <f>32*L7</f>
        <v>0</v>
      </c>
    </row>
    <row r="8">
      <c r="A8" s="1" t="s">
        <v>17</v>
      </c>
      <c r="B8" s="1" t="s">
        <v>18</v>
      </c>
      <c r="C8" s="3">
        <v>7.0</v>
      </c>
      <c r="D8" s="4" t="s">
        <v>33</v>
      </c>
      <c r="E8" s="3">
        <v>10.0</v>
      </c>
      <c r="F8" s="4" t="s">
        <v>195</v>
      </c>
      <c r="G8" s="4" t="s">
        <v>195</v>
      </c>
      <c r="I8" s="2" t="b">
        <f t="shared" si="1"/>
        <v>0</v>
      </c>
      <c r="L8" s="2">
        <f t="shared" ref="L8:M8" si="2">SUM(L2:L7)</f>
        <v>0</v>
      </c>
      <c r="M8" s="2">
        <f t="shared" si="2"/>
        <v>0</v>
      </c>
    </row>
    <row r="9">
      <c r="A9" s="1" t="s">
        <v>17</v>
      </c>
      <c r="B9" s="1" t="s">
        <v>18</v>
      </c>
      <c r="C9" s="3">
        <v>8.0</v>
      </c>
      <c r="D9" s="4" t="s">
        <v>64</v>
      </c>
      <c r="E9" s="3">
        <v>9.0</v>
      </c>
      <c r="F9" s="4" t="s">
        <v>196</v>
      </c>
      <c r="G9" s="4" t="s">
        <v>196</v>
      </c>
      <c r="I9" s="2" t="b">
        <f t="shared" si="1"/>
        <v>0</v>
      </c>
    </row>
    <row r="10">
      <c r="A10" s="1" t="s">
        <v>35</v>
      </c>
      <c r="B10" s="1" t="s">
        <v>18</v>
      </c>
      <c r="C10" s="3">
        <v>1.0</v>
      </c>
      <c r="D10" s="4" t="s">
        <v>84</v>
      </c>
      <c r="E10" s="3">
        <v>16.0</v>
      </c>
      <c r="F10" s="4" t="s">
        <v>128</v>
      </c>
      <c r="G10" s="4" t="s">
        <v>84</v>
      </c>
      <c r="I10" s="2" t="b">
        <f t="shared" si="1"/>
        <v>0</v>
      </c>
    </row>
    <row r="11">
      <c r="A11" s="1" t="s">
        <v>35</v>
      </c>
      <c r="B11" s="1" t="s">
        <v>18</v>
      </c>
      <c r="C11" s="3">
        <v>2.0</v>
      </c>
      <c r="D11" s="4" t="s">
        <v>27</v>
      </c>
      <c r="E11" s="3">
        <v>15.0</v>
      </c>
      <c r="F11" s="4" t="s">
        <v>58</v>
      </c>
      <c r="G11" s="4" t="s">
        <v>27</v>
      </c>
      <c r="I11" s="2" t="b">
        <f t="shared" si="1"/>
        <v>0</v>
      </c>
    </row>
    <row r="12">
      <c r="A12" s="1" t="s">
        <v>35</v>
      </c>
      <c r="B12" s="1" t="s">
        <v>18</v>
      </c>
      <c r="C12" s="3">
        <v>3.0</v>
      </c>
      <c r="D12" s="4" t="s">
        <v>40</v>
      </c>
      <c r="E12" s="3">
        <v>14.0</v>
      </c>
      <c r="F12" s="4" t="s">
        <v>136</v>
      </c>
      <c r="G12" s="4" t="s">
        <v>40</v>
      </c>
      <c r="I12" s="2" t="b">
        <f t="shared" si="1"/>
        <v>0</v>
      </c>
    </row>
    <row r="13">
      <c r="A13" s="1" t="s">
        <v>35</v>
      </c>
      <c r="B13" s="1" t="s">
        <v>18</v>
      </c>
      <c r="C13" s="3">
        <v>4.0</v>
      </c>
      <c r="D13" s="4" t="s">
        <v>175</v>
      </c>
      <c r="E13" s="3">
        <v>13.0</v>
      </c>
      <c r="F13" s="4" t="s">
        <v>107</v>
      </c>
      <c r="G13" s="4" t="s">
        <v>175</v>
      </c>
      <c r="I13" s="2" t="b">
        <f t="shared" si="1"/>
        <v>0</v>
      </c>
    </row>
    <row r="14">
      <c r="A14" s="1" t="s">
        <v>35</v>
      </c>
      <c r="B14" s="1" t="s">
        <v>18</v>
      </c>
      <c r="C14" s="3">
        <v>5.0</v>
      </c>
      <c r="D14" s="4" t="s">
        <v>31</v>
      </c>
      <c r="E14" s="3">
        <v>12.0</v>
      </c>
      <c r="F14" s="4" t="s">
        <v>157</v>
      </c>
      <c r="G14" s="4" t="s">
        <v>157</v>
      </c>
      <c r="I14" s="2" t="b">
        <f t="shared" si="1"/>
        <v>0</v>
      </c>
    </row>
    <row r="15">
      <c r="A15" s="1" t="s">
        <v>35</v>
      </c>
      <c r="B15" s="1" t="s">
        <v>18</v>
      </c>
      <c r="C15" s="3">
        <v>6.0</v>
      </c>
      <c r="D15" s="4" t="s">
        <v>197</v>
      </c>
      <c r="E15" s="3">
        <v>11.0</v>
      </c>
      <c r="F15" s="4" t="s">
        <v>147</v>
      </c>
      <c r="G15" s="4" t="s">
        <v>197</v>
      </c>
      <c r="I15" s="2" t="b">
        <f t="shared" si="1"/>
        <v>0</v>
      </c>
    </row>
    <row r="16">
      <c r="A16" s="1" t="s">
        <v>35</v>
      </c>
      <c r="B16" s="1" t="s">
        <v>18</v>
      </c>
      <c r="C16" s="3">
        <v>7.0</v>
      </c>
      <c r="D16" s="4" t="s">
        <v>103</v>
      </c>
      <c r="E16" s="3">
        <v>10.0</v>
      </c>
      <c r="F16" s="4" t="s">
        <v>36</v>
      </c>
      <c r="G16" s="4" t="s">
        <v>36</v>
      </c>
      <c r="I16" s="2" t="b">
        <f t="shared" si="1"/>
        <v>0</v>
      </c>
    </row>
    <row r="17">
      <c r="A17" s="1" t="s">
        <v>35</v>
      </c>
      <c r="B17" s="1" t="s">
        <v>18</v>
      </c>
      <c r="C17" s="3">
        <v>8.0</v>
      </c>
      <c r="D17" s="4" t="s">
        <v>187</v>
      </c>
      <c r="E17" s="3">
        <v>9.0</v>
      </c>
      <c r="F17" s="4" t="s">
        <v>68</v>
      </c>
      <c r="G17" s="4" t="s">
        <v>68</v>
      </c>
      <c r="I17" s="2" t="b">
        <f t="shared" si="1"/>
        <v>0</v>
      </c>
    </row>
    <row r="18">
      <c r="A18" s="1" t="s">
        <v>52</v>
      </c>
      <c r="B18" s="1" t="s">
        <v>18</v>
      </c>
      <c r="C18" s="3">
        <v>1.0</v>
      </c>
      <c r="D18" s="4" t="s">
        <v>125</v>
      </c>
      <c r="E18" s="3">
        <v>16.0</v>
      </c>
      <c r="F18" s="4" t="s">
        <v>198</v>
      </c>
      <c r="G18" s="4" t="s">
        <v>125</v>
      </c>
      <c r="I18" s="2" t="b">
        <f t="shared" si="1"/>
        <v>0</v>
      </c>
    </row>
    <row r="19">
      <c r="A19" s="1" t="s">
        <v>52</v>
      </c>
      <c r="B19" s="1" t="s">
        <v>18</v>
      </c>
      <c r="C19" s="3">
        <v>2.0</v>
      </c>
      <c r="D19" s="4" t="s">
        <v>72</v>
      </c>
      <c r="E19" s="3">
        <v>15.0</v>
      </c>
      <c r="F19" s="4" t="s">
        <v>100</v>
      </c>
      <c r="G19" s="4" t="s">
        <v>72</v>
      </c>
      <c r="I19" s="2" t="b">
        <f t="shared" si="1"/>
        <v>0</v>
      </c>
    </row>
    <row r="20">
      <c r="A20" s="1" t="s">
        <v>52</v>
      </c>
      <c r="B20" s="1" t="s">
        <v>18</v>
      </c>
      <c r="C20" s="3">
        <v>3.0</v>
      </c>
      <c r="D20" s="4" t="s">
        <v>76</v>
      </c>
      <c r="E20" s="3">
        <v>14.0</v>
      </c>
      <c r="F20" s="4" t="s">
        <v>199</v>
      </c>
      <c r="G20" s="4" t="s">
        <v>76</v>
      </c>
      <c r="I20" s="2" t="b">
        <f t="shared" si="1"/>
        <v>0</v>
      </c>
    </row>
    <row r="21">
      <c r="A21" s="1" t="s">
        <v>52</v>
      </c>
      <c r="B21" s="1" t="s">
        <v>18</v>
      </c>
      <c r="C21" s="3">
        <v>4.0</v>
      </c>
      <c r="D21" s="4" t="s">
        <v>129</v>
      </c>
      <c r="E21" s="3">
        <v>13.0</v>
      </c>
      <c r="F21" s="4" t="s">
        <v>200</v>
      </c>
      <c r="G21" s="4" t="s">
        <v>200</v>
      </c>
      <c r="I21" s="2" t="b">
        <f t="shared" si="1"/>
        <v>0</v>
      </c>
    </row>
    <row r="22">
      <c r="A22" s="1" t="s">
        <v>52</v>
      </c>
      <c r="B22" s="1" t="s">
        <v>18</v>
      </c>
      <c r="C22" s="3">
        <v>5.0</v>
      </c>
      <c r="D22" s="4" t="s">
        <v>57</v>
      </c>
      <c r="E22" s="3">
        <v>12.0</v>
      </c>
      <c r="F22" s="4" t="s">
        <v>61</v>
      </c>
      <c r="G22" s="4" t="s">
        <v>61</v>
      </c>
      <c r="I22" s="2" t="b">
        <f t="shared" si="1"/>
        <v>0</v>
      </c>
    </row>
    <row r="23">
      <c r="A23" s="1" t="s">
        <v>52</v>
      </c>
      <c r="B23" s="1" t="s">
        <v>18</v>
      </c>
      <c r="C23" s="3">
        <v>6.0</v>
      </c>
      <c r="D23" s="4" t="s">
        <v>160</v>
      </c>
      <c r="E23" s="3">
        <v>11.0</v>
      </c>
      <c r="F23" s="4" t="s">
        <v>65</v>
      </c>
      <c r="G23" s="4" t="s">
        <v>160</v>
      </c>
      <c r="I23" s="2" t="b">
        <f t="shared" si="1"/>
        <v>0</v>
      </c>
    </row>
    <row r="24">
      <c r="A24" s="1" t="s">
        <v>52</v>
      </c>
      <c r="B24" s="1" t="s">
        <v>18</v>
      </c>
      <c r="C24" s="3">
        <v>7.0</v>
      </c>
      <c r="D24" s="4" t="s">
        <v>201</v>
      </c>
      <c r="E24" s="3">
        <v>10.0</v>
      </c>
      <c r="F24" s="4" t="s">
        <v>143</v>
      </c>
      <c r="G24" s="4" t="s">
        <v>143</v>
      </c>
      <c r="I24" s="2" t="b">
        <f t="shared" si="1"/>
        <v>0</v>
      </c>
    </row>
    <row r="25">
      <c r="A25" s="1" t="s">
        <v>52</v>
      </c>
      <c r="B25" s="1" t="s">
        <v>18</v>
      </c>
      <c r="C25" s="3">
        <v>8.0</v>
      </c>
      <c r="D25" s="4" t="s">
        <v>87</v>
      </c>
      <c r="E25" s="3">
        <v>9.0</v>
      </c>
      <c r="F25" s="4" t="s">
        <v>51</v>
      </c>
      <c r="G25" s="4" t="s">
        <v>51</v>
      </c>
      <c r="I25" s="2" t="b">
        <f t="shared" si="1"/>
        <v>0</v>
      </c>
    </row>
    <row r="26">
      <c r="A26" s="1" t="s">
        <v>69</v>
      </c>
      <c r="B26" s="1" t="s">
        <v>18</v>
      </c>
      <c r="C26" s="3">
        <v>1.0</v>
      </c>
      <c r="D26" s="4" t="s">
        <v>30</v>
      </c>
      <c r="E26" s="3">
        <v>16.0</v>
      </c>
      <c r="F26" s="4" t="s">
        <v>146</v>
      </c>
      <c r="G26" s="4" t="s">
        <v>30</v>
      </c>
      <c r="I26" s="2" t="b">
        <f t="shared" si="1"/>
        <v>0</v>
      </c>
    </row>
    <row r="27">
      <c r="A27" s="1" t="s">
        <v>69</v>
      </c>
      <c r="B27" s="1" t="s">
        <v>18</v>
      </c>
      <c r="C27" s="3">
        <v>2.0</v>
      </c>
      <c r="D27" s="4" t="s">
        <v>74</v>
      </c>
      <c r="E27" s="3">
        <v>15.0</v>
      </c>
      <c r="F27" s="4" t="s">
        <v>174</v>
      </c>
      <c r="G27" s="4" t="s">
        <v>74</v>
      </c>
      <c r="I27" s="2" t="b">
        <f t="shared" si="1"/>
        <v>0</v>
      </c>
    </row>
    <row r="28">
      <c r="A28" s="1" t="s">
        <v>69</v>
      </c>
      <c r="B28" s="1" t="s">
        <v>18</v>
      </c>
      <c r="C28" s="3">
        <v>3.0</v>
      </c>
      <c r="D28" s="4" t="s">
        <v>70</v>
      </c>
      <c r="E28" s="3">
        <v>14.0</v>
      </c>
      <c r="F28" s="4" t="s">
        <v>150</v>
      </c>
      <c r="G28" s="4" t="s">
        <v>70</v>
      </c>
      <c r="I28" s="2" t="b">
        <f t="shared" si="1"/>
        <v>0</v>
      </c>
    </row>
    <row r="29">
      <c r="A29" s="1" t="s">
        <v>69</v>
      </c>
      <c r="B29" s="1" t="s">
        <v>18</v>
      </c>
      <c r="C29" s="3">
        <v>4.0</v>
      </c>
      <c r="D29" s="4" t="s">
        <v>48</v>
      </c>
      <c r="E29" s="3">
        <v>13.0</v>
      </c>
      <c r="F29" s="4" t="s">
        <v>202</v>
      </c>
      <c r="G29" s="4" t="s">
        <v>48</v>
      </c>
      <c r="I29" s="2" t="b">
        <f t="shared" si="1"/>
        <v>0</v>
      </c>
    </row>
    <row r="30">
      <c r="A30" s="1" t="s">
        <v>69</v>
      </c>
      <c r="B30" s="1" t="s">
        <v>18</v>
      </c>
      <c r="C30" s="3">
        <v>5.0</v>
      </c>
      <c r="D30" s="4" t="s">
        <v>19</v>
      </c>
      <c r="E30" s="3">
        <v>12.0</v>
      </c>
      <c r="F30" s="4" t="s">
        <v>152</v>
      </c>
      <c r="G30" s="4" t="s">
        <v>19</v>
      </c>
      <c r="I30" s="2" t="b">
        <f t="shared" si="1"/>
        <v>0</v>
      </c>
    </row>
    <row r="31">
      <c r="A31" s="1" t="s">
        <v>69</v>
      </c>
      <c r="B31" s="1" t="s">
        <v>18</v>
      </c>
      <c r="C31" s="3">
        <v>6.0</v>
      </c>
      <c r="D31" s="4" t="s">
        <v>118</v>
      </c>
      <c r="E31" s="3">
        <v>11.0</v>
      </c>
      <c r="F31" s="4" t="s">
        <v>164</v>
      </c>
      <c r="G31" s="4" t="s">
        <v>164</v>
      </c>
      <c r="I31" s="2" t="b">
        <f t="shared" si="1"/>
        <v>0</v>
      </c>
    </row>
    <row r="32">
      <c r="A32" s="1" t="s">
        <v>69</v>
      </c>
      <c r="B32" s="1" t="s">
        <v>18</v>
      </c>
      <c r="C32" s="3">
        <v>7.0</v>
      </c>
      <c r="D32" s="4" t="s">
        <v>73</v>
      </c>
      <c r="E32" s="3">
        <v>10.0</v>
      </c>
      <c r="F32" s="4" t="s">
        <v>166</v>
      </c>
      <c r="G32" s="4" t="s">
        <v>73</v>
      </c>
      <c r="I32" s="2" t="b">
        <f t="shared" si="1"/>
        <v>0</v>
      </c>
    </row>
    <row r="33">
      <c r="A33" s="1" t="s">
        <v>69</v>
      </c>
      <c r="B33" s="1" t="s">
        <v>18</v>
      </c>
      <c r="C33" s="3">
        <v>8.0</v>
      </c>
      <c r="D33" s="4" t="s">
        <v>121</v>
      </c>
      <c r="E33" s="3">
        <v>9.0</v>
      </c>
      <c r="F33" s="4" t="s">
        <v>203</v>
      </c>
      <c r="G33" s="4" t="s">
        <v>203</v>
      </c>
      <c r="I33" s="2" t="b">
        <f t="shared" si="1"/>
        <v>0</v>
      </c>
    </row>
    <row r="34">
      <c r="A34" s="1" t="s">
        <v>17</v>
      </c>
      <c r="B34" s="1" t="s">
        <v>7</v>
      </c>
      <c r="C34" s="3">
        <v>1.0</v>
      </c>
      <c r="D34" s="4" t="s">
        <v>53</v>
      </c>
      <c r="E34" s="3">
        <v>9.0</v>
      </c>
      <c r="F34" s="4" t="s">
        <v>196</v>
      </c>
      <c r="G34" s="1" t="s">
        <v>53</v>
      </c>
      <c r="I34" s="2" t="b">
        <f t="shared" si="1"/>
        <v>0</v>
      </c>
    </row>
    <row r="35">
      <c r="A35" s="1" t="s">
        <v>17</v>
      </c>
      <c r="B35" s="1" t="s">
        <v>7</v>
      </c>
      <c r="C35" s="3">
        <v>2.0</v>
      </c>
      <c r="D35" s="4" t="s">
        <v>86</v>
      </c>
      <c r="E35" s="3">
        <v>10.0</v>
      </c>
      <c r="F35" s="4" t="s">
        <v>195</v>
      </c>
      <c r="G35" s="1" t="s">
        <v>86</v>
      </c>
      <c r="I35" s="2" t="b">
        <f t="shared" si="1"/>
        <v>0</v>
      </c>
    </row>
    <row r="36">
      <c r="A36" s="1" t="s">
        <v>17</v>
      </c>
      <c r="B36" s="1" t="s">
        <v>7</v>
      </c>
      <c r="C36" s="3">
        <v>3.0</v>
      </c>
      <c r="D36" s="4" t="s">
        <v>171</v>
      </c>
      <c r="E36" s="3">
        <v>6.0</v>
      </c>
      <c r="F36" s="4" t="s">
        <v>42</v>
      </c>
      <c r="G36" s="1" t="s">
        <v>171</v>
      </c>
      <c r="I36" s="2" t="b">
        <f t="shared" si="1"/>
        <v>0</v>
      </c>
    </row>
    <row r="37">
      <c r="A37" s="1" t="s">
        <v>17</v>
      </c>
      <c r="B37" s="1" t="s">
        <v>7</v>
      </c>
      <c r="C37" s="3">
        <v>4.0</v>
      </c>
      <c r="D37" s="4" t="s">
        <v>156</v>
      </c>
      <c r="E37" s="3">
        <v>12.0</v>
      </c>
      <c r="F37" s="4" t="s">
        <v>62</v>
      </c>
      <c r="G37" s="1" t="s">
        <v>156</v>
      </c>
      <c r="I37" s="2" t="b">
        <f t="shared" si="1"/>
        <v>0</v>
      </c>
    </row>
    <row r="38">
      <c r="A38" s="1" t="s">
        <v>35</v>
      </c>
      <c r="B38" s="1" t="s">
        <v>7</v>
      </c>
      <c r="C38" s="3">
        <v>1.0</v>
      </c>
      <c r="D38" s="4" t="s">
        <v>84</v>
      </c>
      <c r="E38" s="3">
        <v>9.0</v>
      </c>
      <c r="F38" s="4" t="s">
        <v>68</v>
      </c>
      <c r="G38" s="1" t="s">
        <v>84</v>
      </c>
      <c r="I38" s="2" t="b">
        <f t="shared" si="1"/>
        <v>0</v>
      </c>
    </row>
    <row r="39">
      <c r="A39" s="1" t="s">
        <v>35</v>
      </c>
      <c r="B39" s="1" t="s">
        <v>7</v>
      </c>
      <c r="C39" s="3">
        <v>2.0</v>
      </c>
      <c r="D39" s="4" t="s">
        <v>27</v>
      </c>
      <c r="E39" s="3">
        <v>10.0</v>
      </c>
      <c r="F39" s="4" t="s">
        <v>36</v>
      </c>
      <c r="G39" s="1" t="s">
        <v>27</v>
      </c>
      <c r="I39" s="2" t="b">
        <f t="shared" si="1"/>
        <v>0</v>
      </c>
    </row>
    <row r="40">
      <c r="A40" s="1" t="s">
        <v>35</v>
      </c>
      <c r="B40" s="1" t="s">
        <v>7</v>
      </c>
      <c r="C40" s="3">
        <v>3.0</v>
      </c>
      <c r="D40" s="4" t="s">
        <v>40</v>
      </c>
      <c r="E40" s="3">
        <v>6.0</v>
      </c>
      <c r="F40" s="4" t="s">
        <v>197</v>
      </c>
      <c r="G40" s="1" t="s">
        <v>40</v>
      </c>
      <c r="I40" s="2" t="b">
        <f t="shared" si="1"/>
        <v>0</v>
      </c>
    </row>
    <row r="41">
      <c r="A41" s="1" t="s">
        <v>35</v>
      </c>
      <c r="B41" s="1" t="s">
        <v>7</v>
      </c>
      <c r="C41" s="3">
        <v>4.0</v>
      </c>
      <c r="D41" s="4" t="s">
        <v>175</v>
      </c>
      <c r="E41" s="3">
        <v>12.0</v>
      </c>
      <c r="F41" s="4" t="s">
        <v>157</v>
      </c>
      <c r="G41" s="1" t="s">
        <v>175</v>
      </c>
      <c r="I41" s="2" t="b">
        <f t="shared" si="1"/>
        <v>0</v>
      </c>
    </row>
    <row r="42">
      <c r="A42" s="1" t="s">
        <v>52</v>
      </c>
      <c r="B42" s="1" t="s">
        <v>7</v>
      </c>
      <c r="C42" s="3">
        <v>1.0</v>
      </c>
      <c r="D42" s="4" t="s">
        <v>125</v>
      </c>
      <c r="E42" s="3">
        <v>9.0</v>
      </c>
      <c r="F42" s="4" t="s">
        <v>51</v>
      </c>
      <c r="G42" s="1" t="s">
        <v>125</v>
      </c>
      <c r="I42" s="2" t="b">
        <f t="shared" si="1"/>
        <v>0</v>
      </c>
    </row>
    <row r="43">
      <c r="A43" s="1" t="s">
        <v>52</v>
      </c>
      <c r="B43" s="1" t="s">
        <v>7</v>
      </c>
      <c r="C43" s="3">
        <v>2.0</v>
      </c>
      <c r="D43" s="4" t="s">
        <v>72</v>
      </c>
      <c r="E43" s="3">
        <v>7.0</v>
      </c>
      <c r="F43" s="4" t="s">
        <v>201</v>
      </c>
      <c r="G43" s="1" t="s">
        <v>72</v>
      </c>
      <c r="I43" s="2" t="b">
        <f t="shared" si="1"/>
        <v>0</v>
      </c>
    </row>
    <row r="44">
      <c r="A44" s="1" t="s">
        <v>52</v>
      </c>
      <c r="B44" s="1" t="s">
        <v>7</v>
      </c>
      <c r="C44" s="3">
        <v>3.0</v>
      </c>
      <c r="D44" s="4" t="s">
        <v>76</v>
      </c>
      <c r="E44" s="3">
        <v>6.0</v>
      </c>
      <c r="F44" s="4" t="s">
        <v>160</v>
      </c>
      <c r="G44" s="1" t="s">
        <v>76</v>
      </c>
      <c r="I44" s="2" t="b">
        <f t="shared" si="1"/>
        <v>0</v>
      </c>
    </row>
    <row r="45">
      <c r="A45" s="1" t="s">
        <v>52</v>
      </c>
      <c r="B45" s="1" t="s">
        <v>7</v>
      </c>
      <c r="C45" s="3">
        <v>12.0</v>
      </c>
      <c r="D45" s="4" t="s">
        <v>61</v>
      </c>
      <c r="E45" s="3">
        <v>13.0</v>
      </c>
      <c r="F45" s="4" t="s">
        <v>200</v>
      </c>
      <c r="G45" s="1" t="s">
        <v>61</v>
      </c>
      <c r="I45" s="2" t="b">
        <f t="shared" si="1"/>
        <v>0</v>
      </c>
    </row>
    <row r="46">
      <c r="A46" s="1" t="s">
        <v>69</v>
      </c>
      <c r="B46" s="1" t="s">
        <v>7</v>
      </c>
      <c r="C46" s="3">
        <v>1.0</v>
      </c>
      <c r="D46" s="4" t="s">
        <v>30</v>
      </c>
      <c r="E46" s="3">
        <v>9.0</v>
      </c>
      <c r="F46" s="4" t="s">
        <v>203</v>
      </c>
      <c r="G46" s="1" t="s">
        <v>30</v>
      </c>
      <c r="I46" s="2" t="b">
        <f t="shared" si="1"/>
        <v>0</v>
      </c>
    </row>
    <row r="47">
      <c r="A47" s="1" t="s">
        <v>69</v>
      </c>
      <c r="B47" s="1" t="s">
        <v>7</v>
      </c>
      <c r="C47" s="3">
        <v>2.0</v>
      </c>
      <c r="D47" s="4" t="s">
        <v>74</v>
      </c>
      <c r="E47" s="3">
        <v>7.0</v>
      </c>
      <c r="F47" s="4" t="s">
        <v>73</v>
      </c>
      <c r="G47" s="1" t="s">
        <v>74</v>
      </c>
      <c r="I47" s="2" t="b">
        <f t="shared" si="1"/>
        <v>0</v>
      </c>
    </row>
    <row r="48">
      <c r="A48" s="1" t="s">
        <v>69</v>
      </c>
      <c r="B48" s="1" t="s">
        <v>7</v>
      </c>
      <c r="C48" s="3">
        <v>3.0</v>
      </c>
      <c r="D48" s="4" t="s">
        <v>70</v>
      </c>
      <c r="E48" s="3">
        <v>11.0</v>
      </c>
      <c r="F48" s="4" t="s">
        <v>164</v>
      </c>
      <c r="G48" s="1" t="s">
        <v>70</v>
      </c>
      <c r="I48" s="2" t="b">
        <f t="shared" si="1"/>
        <v>0</v>
      </c>
    </row>
    <row r="49">
      <c r="A49" s="1" t="s">
        <v>69</v>
      </c>
      <c r="B49" s="1" t="s">
        <v>7</v>
      </c>
      <c r="C49" s="3">
        <v>4.0</v>
      </c>
      <c r="D49" s="4" t="s">
        <v>48</v>
      </c>
      <c r="E49" s="3">
        <v>5.0</v>
      </c>
      <c r="F49" s="4" t="s">
        <v>19</v>
      </c>
      <c r="G49" s="1" t="s">
        <v>19</v>
      </c>
      <c r="I49" s="2" t="b">
        <f t="shared" si="1"/>
        <v>0</v>
      </c>
    </row>
    <row r="50">
      <c r="A50" s="1" t="s">
        <v>17</v>
      </c>
      <c r="B50" s="1" t="s">
        <v>6</v>
      </c>
      <c r="C50" s="3">
        <v>1.0</v>
      </c>
      <c r="D50" s="4" t="s">
        <v>53</v>
      </c>
      <c r="E50" s="3">
        <v>4.0</v>
      </c>
      <c r="F50" s="4" t="s">
        <v>156</v>
      </c>
      <c r="G50" s="1" t="s">
        <v>53</v>
      </c>
      <c r="I50" s="2" t="b">
        <f t="shared" si="1"/>
        <v>0</v>
      </c>
    </row>
    <row r="51">
      <c r="A51" s="1" t="s">
        <v>17</v>
      </c>
      <c r="B51" s="1" t="s">
        <v>6</v>
      </c>
      <c r="C51" s="3">
        <v>2.0</v>
      </c>
      <c r="D51" s="4" t="s">
        <v>86</v>
      </c>
      <c r="E51" s="3">
        <v>3.0</v>
      </c>
      <c r="F51" s="4" t="s">
        <v>171</v>
      </c>
      <c r="G51" s="1" t="s">
        <v>86</v>
      </c>
      <c r="I51" s="2" t="b">
        <f t="shared" si="1"/>
        <v>0</v>
      </c>
    </row>
    <row r="52">
      <c r="A52" s="1" t="s">
        <v>35</v>
      </c>
      <c r="B52" s="1" t="s">
        <v>6</v>
      </c>
      <c r="C52" s="3">
        <v>1.0</v>
      </c>
      <c r="D52" s="4" t="s">
        <v>84</v>
      </c>
      <c r="E52" s="3">
        <v>4.0</v>
      </c>
      <c r="F52" s="4" t="s">
        <v>175</v>
      </c>
      <c r="G52" s="4" t="s">
        <v>84</v>
      </c>
      <c r="I52" s="2" t="b">
        <f t="shared" si="1"/>
        <v>0</v>
      </c>
    </row>
    <row r="53">
      <c r="A53" s="1" t="s">
        <v>35</v>
      </c>
      <c r="B53" s="1" t="s">
        <v>6</v>
      </c>
      <c r="C53" s="3">
        <v>2.0</v>
      </c>
      <c r="D53" s="4" t="s">
        <v>27</v>
      </c>
      <c r="E53" s="3">
        <v>3.0</v>
      </c>
      <c r="F53" s="4" t="s">
        <v>40</v>
      </c>
      <c r="G53" s="4" t="s">
        <v>40</v>
      </c>
      <c r="I53" s="2" t="b">
        <f t="shared" si="1"/>
        <v>0</v>
      </c>
    </row>
    <row r="54">
      <c r="A54" s="1" t="s">
        <v>52</v>
      </c>
      <c r="B54" s="1" t="s">
        <v>6</v>
      </c>
      <c r="C54" s="3">
        <v>1.0</v>
      </c>
      <c r="D54" s="4" t="s">
        <v>125</v>
      </c>
      <c r="E54" s="3">
        <v>12.0</v>
      </c>
      <c r="F54" s="4" t="s">
        <v>61</v>
      </c>
      <c r="G54" s="1" t="s">
        <v>125</v>
      </c>
      <c r="I54" s="2" t="b">
        <f t="shared" si="1"/>
        <v>0</v>
      </c>
    </row>
    <row r="55">
      <c r="A55" s="1" t="s">
        <v>52</v>
      </c>
      <c r="B55" s="1" t="s">
        <v>6</v>
      </c>
      <c r="C55" s="3">
        <v>2.0</v>
      </c>
      <c r="D55" s="4" t="s">
        <v>72</v>
      </c>
      <c r="E55" s="3">
        <v>3.0</v>
      </c>
      <c r="F55" s="4" t="s">
        <v>76</v>
      </c>
      <c r="G55" s="1" t="s">
        <v>76</v>
      </c>
      <c r="I55" s="2" t="b">
        <f t="shared" si="1"/>
        <v>0</v>
      </c>
    </row>
    <row r="56">
      <c r="A56" s="1" t="s">
        <v>69</v>
      </c>
      <c r="B56" s="1" t="s">
        <v>6</v>
      </c>
      <c r="C56" s="3">
        <v>1.0</v>
      </c>
      <c r="D56" s="4" t="s">
        <v>30</v>
      </c>
      <c r="E56" s="3">
        <v>5.0</v>
      </c>
      <c r="F56" s="4" t="s">
        <v>19</v>
      </c>
      <c r="G56" s="1" t="s">
        <v>19</v>
      </c>
      <c r="I56" s="2" t="b">
        <f t="shared" si="1"/>
        <v>0</v>
      </c>
    </row>
    <row r="57">
      <c r="A57" s="1" t="s">
        <v>69</v>
      </c>
      <c r="B57" s="1" t="s">
        <v>6</v>
      </c>
      <c r="C57" s="3">
        <v>2.0</v>
      </c>
      <c r="D57" s="4" t="s">
        <v>74</v>
      </c>
      <c r="E57" s="3">
        <v>3.0</v>
      </c>
      <c r="F57" s="4" t="s">
        <v>70</v>
      </c>
      <c r="G57" s="1" t="s">
        <v>74</v>
      </c>
      <c r="I57" s="2" t="b">
        <f t="shared" si="1"/>
        <v>0</v>
      </c>
    </row>
    <row r="58">
      <c r="A58" s="1" t="s">
        <v>17</v>
      </c>
      <c r="B58" s="1" t="s">
        <v>5</v>
      </c>
      <c r="C58" s="3">
        <v>1.0</v>
      </c>
      <c r="D58" s="4" t="s">
        <v>53</v>
      </c>
      <c r="E58" s="3">
        <v>2.0</v>
      </c>
      <c r="F58" s="4" t="s">
        <v>86</v>
      </c>
      <c r="G58" s="1" t="s">
        <v>86</v>
      </c>
      <c r="I58" s="2" t="b">
        <f t="shared" si="1"/>
        <v>0</v>
      </c>
    </row>
    <row r="59">
      <c r="A59" s="1" t="s">
        <v>35</v>
      </c>
      <c r="B59" s="1" t="s">
        <v>5</v>
      </c>
      <c r="C59" s="3">
        <v>1.0</v>
      </c>
      <c r="D59" s="4" t="s">
        <v>84</v>
      </c>
      <c r="E59" s="3">
        <v>3.0</v>
      </c>
      <c r="F59" s="4" t="s">
        <v>40</v>
      </c>
      <c r="G59" s="4" t="s">
        <v>40</v>
      </c>
      <c r="I59" s="2" t="b">
        <f t="shared" si="1"/>
        <v>0</v>
      </c>
    </row>
    <row r="60">
      <c r="A60" s="1" t="s">
        <v>52</v>
      </c>
      <c r="B60" s="1" t="s">
        <v>5</v>
      </c>
      <c r="C60" s="3">
        <v>1.0</v>
      </c>
      <c r="D60" s="4" t="s">
        <v>125</v>
      </c>
      <c r="E60" s="3">
        <v>3.0</v>
      </c>
      <c r="F60" s="4" t="s">
        <v>76</v>
      </c>
      <c r="G60" s="4" t="s">
        <v>125</v>
      </c>
      <c r="I60" s="2" t="b">
        <f t="shared" si="1"/>
        <v>0</v>
      </c>
    </row>
    <row r="61">
      <c r="A61" s="1" t="s">
        <v>69</v>
      </c>
      <c r="B61" s="1" t="s">
        <v>5</v>
      </c>
      <c r="C61" s="3">
        <v>2.0</v>
      </c>
      <c r="D61" s="4" t="s">
        <v>74</v>
      </c>
      <c r="E61" s="3">
        <v>5.0</v>
      </c>
      <c r="F61" s="4" t="s">
        <v>19</v>
      </c>
      <c r="G61" s="4" t="s">
        <v>19</v>
      </c>
      <c r="I61" s="2" t="b">
        <f t="shared" si="1"/>
        <v>0</v>
      </c>
    </row>
    <row r="62">
      <c r="A62" s="1" t="s">
        <v>4</v>
      </c>
      <c r="B62" s="1" t="s">
        <v>4</v>
      </c>
      <c r="C62" s="3">
        <v>2.0</v>
      </c>
      <c r="D62" s="4" t="s">
        <v>86</v>
      </c>
      <c r="E62" s="3">
        <v>3.0</v>
      </c>
      <c r="F62" s="4" t="s">
        <v>40</v>
      </c>
      <c r="G62" s="4" t="s">
        <v>40</v>
      </c>
      <c r="I62" s="2" t="b">
        <f t="shared" si="1"/>
        <v>0</v>
      </c>
    </row>
    <row r="63">
      <c r="A63" s="1" t="s">
        <v>4</v>
      </c>
      <c r="B63" s="1" t="s">
        <v>4</v>
      </c>
      <c r="C63" s="3">
        <v>1.0</v>
      </c>
      <c r="D63" s="4" t="s">
        <v>125</v>
      </c>
      <c r="E63" s="3">
        <v>5.0</v>
      </c>
      <c r="F63" s="4" t="s">
        <v>19</v>
      </c>
      <c r="G63" s="4" t="s">
        <v>125</v>
      </c>
      <c r="I63" s="2" t="b">
        <f t="shared" si="1"/>
        <v>0</v>
      </c>
    </row>
    <row r="64">
      <c r="A64" s="1" t="s">
        <v>4</v>
      </c>
      <c r="B64" s="1" t="s">
        <v>3</v>
      </c>
      <c r="C64" s="1">
        <v>1.0</v>
      </c>
      <c r="D64" s="4" t="s">
        <v>125</v>
      </c>
      <c r="E64" s="3">
        <v>3.0</v>
      </c>
      <c r="F64" s="4" t="s">
        <v>40</v>
      </c>
      <c r="G64" s="4" t="s">
        <v>125</v>
      </c>
      <c r="I64" s="2" t="b">
        <f t="shared" si="1"/>
        <v>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11.75"/>
    <col customWidth="1" min="3" max="3" width="8.88"/>
    <col customWidth="1" min="4" max="4" width="9.0"/>
    <col customWidth="1" min="5" max="5" width="8.5"/>
    <col customWidth="1" min="6" max="6" width="8.63"/>
    <col customWidth="1" min="7" max="7" width="6.25"/>
    <col customWidth="1" min="8" max="8" width="10.75"/>
    <col customWidth="1" min="9" max="9" width="6.5"/>
    <col customWidth="1" min="11" max="11" width="11.75"/>
    <col customWidth="1" min="12" max="12" width="6.5"/>
    <col customWidth="1" min="13" max="13" width="5.63"/>
  </cols>
  <sheetData>
    <row r="1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K1" s="1" t="s">
        <v>9</v>
      </c>
      <c r="L1" s="1" t="s">
        <v>16</v>
      </c>
      <c r="M1" s="1" t="s">
        <v>1</v>
      </c>
    </row>
    <row r="2">
      <c r="A2" s="1" t="s">
        <v>17</v>
      </c>
      <c r="B2" s="1" t="s">
        <v>18</v>
      </c>
      <c r="C2" s="3">
        <v>1.0</v>
      </c>
      <c r="D2" s="4"/>
      <c r="E2" s="3">
        <v>16.0</v>
      </c>
      <c r="F2" s="4"/>
      <c r="G2" s="4"/>
      <c r="I2" s="2" t="b">
        <f t="shared" ref="I2:I64" si="1">G2=H2</f>
        <v>1</v>
      </c>
      <c r="K2" s="1" t="s">
        <v>18</v>
      </c>
      <c r="M2" s="2">
        <f>1*L2</f>
        <v>0</v>
      </c>
    </row>
    <row r="3">
      <c r="A3" s="1" t="s">
        <v>17</v>
      </c>
      <c r="B3" s="1" t="s">
        <v>18</v>
      </c>
      <c r="C3" s="3">
        <v>2.0</v>
      </c>
      <c r="D3" s="4"/>
      <c r="E3" s="3">
        <v>15.0</v>
      </c>
      <c r="F3" s="4"/>
      <c r="G3" s="4"/>
      <c r="I3" s="2" t="b">
        <f t="shared" si="1"/>
        <v>1</v>
      </c>
      <c r="K3" s="1" t="s">
        <v>7</v>
      </c>
      <c r="M3" s="2">
        <f>2*L3</f>
        <v>0</v>
      </c>
    </row>
    <row r="4">
      <c r="A4" s="1" t="s">
        <v>17</v>
      </c>
      <c r="B4" s="1" t="s">
        <v>18</v>
      </c>
      <c r="C4" s="3">
        <v>3.0</v>
      </c>
      <c r="D4" s="4"/>
      <c r="E4" s="3">
        <v>14.0</v>
      </c>
      <c r="F4" s="4"/>
      <c r="G4" s="4"/>
      <c r="I4" s="2" t="b">
        <f t="shared" si="1"/>
        <v>1</v>
      </c>
      <c r="K4" s="1" t="s">
        <v>6</v>
      </c>
      <c r="M4" s="2">
        <f>4*L4</f>
        <v>0</v>
      </c>
    </row>
    <row r="5">
      <c r="A5" s="1" t="s">
        <v>17</v>
      </c>
      <c r="B5" s="1" t="s">
        <v>18</v>
      </c>
      <c r="C5" s="3">
        <v>4.0</v>
      </c>
      <c r="D5" s="4"/>
      <c r="E5" s="3">
        <v>13.0</v>
      </c>
      <c r="F5" s="4"/>
      <c r="G5" s="4"/>
      <c r="I5" s="2" t="b">
        <f t="shared" si="1"/>
        <v>1</v>
      </c>
      <c r="K5" s="1" t="s">
        <v>5</v>
      </c>
      <c r="M5" s="2">
        <f>8*L5</f>
        <v>0</v>
      </c>
    </row>
    <row r="6">
      <c r="A6" s="1" t="s">
        <v>17</v>
      </c>
      <c r="B6" s="1" t="s">
        <v>18</v>
      </c>
      <c r="C6" s="3">
        <v>5.0</v>
      </c>
      <c r="D6" s="4"/>
      <c r="E6" s="3">
        <v>12.0</v>
      </c>
      <c r="F6" s="4"/>
      <c r="G6" s="4"/>
      <c r="I6" s="2" t="b">
        <f t="shared" si="1"/>
        <v>1</v>
      </c>
      <c r="K6" s="1" t="s">
        <v>4</v>
      </c>
      <c r="M6" s="2">
        <f>16*L6</f>
        <v>0</v>
      </c>
    </row>
    <row r="7">
      <c r="A7" s="1" t="s">
        <v>17</v>
      </c>
      <c r="B7" s="1" t="s">
        <v>18</v>
      </c>
      <c r="C7" s="3">
        <v>6.0</v>
      </c>
      <c r="D7" s="4"/>
      <c r="E7" s="3">
        <v>11.0</v>
      </c>
      <c r="F7" s="4"/>
      <c r="G7" s="4"/>
      <c r="I7" s="2" t="b">
        <f t="shared" si="1"/>
        <v>1</v>
      </c>
      <c r="K7" s="1" t="s">
        <v>3</v>
      </c>
      <c r="M7" s="2">
        <f>32*L7</f>
        <v>0</v>
      </c>
    </row>
    <row r="8">
      <c r="A8" s="1" t="s">
        <v>17</v>
      </c>
      <c r="B8" s="1" t="s">
        <v>18</v>
      </c>
      <c r="C8" s="3">
        <v>7.0</v>
      </c>
      <c r="D8" s="4"/>
      <c r="E8" s="3">
        <v>10.0</v>
      </c>
      <c r="F8" s="4"/>
      <c r="G8" s="4"/>
      <c r="I8" s="2" t="b">
        <f t="shared" si="1"/>
        <v>1</v>
      </c>
      <c r="L8" s="2">
        <f t="shared" ref="L8:M8" si="2">SUM(L2:L7)</f>
        <v>0</v>
      </c>
      <c r="M8" s="2">
        <f t="shared" si="2"/>
        <v>0</v>
      </c>
    </row>
    <row r="9">
      <c r="A9" s="1" t="s">
        <v>17</v>
      </c>
      <c r="B9" s="1" t="s">
        <v>18</v>
      </c>
      <c r="C9" s="3">
        <v>8.0</v>
      </c>
      <c r="D9" s="4"/>
      <c r="E9" s="3">
        <v>9.0</v>
      </c>
      <c r="F9" s="4"/>
      <c r="G9" s="4"/>
      <c r="I9" s="2" t="b">
        <f t="shared" si="1"/>
        <v>1</v>
      </c>
    </row>
    <row r="10">
      <c r="A10" s="1" t="s">
        <v>35</v>
      </c>
      <c r="B10" s="1" t="s">
        <v>18</v>
      </c>
      <c r="C10" s="3">
        <v>1.0</v>
      </c>
      <c r="D10" s="4"/>
      <c r="E10" s="3">
        <v>16.0</v>
      </c>
      <c r="F10" s="4"/>
      <c r="G10" s="4"/>
      <c r="I10" s="2" t="b">
        <f t="shared" si="1"/>
        <v>1</v>
      </c>
    </row>
    <row r="11">
      <c r="A11" s="1" t="s">
        <v>35</v>
      </c>
      <c r="B11" s="1" t="s">
        <v>18</v>
      </c>
      <c r="C11" s="3">
        <v>2.0</v>
      </c>
      <c r="D11" s="4"/>
      <c r="E11" s="3">
        <v>15.0</v>
      </c>
      <c r="F11" s="4"/>
      <c r="G11" s="4"/>
      <c r="I11" s="2" t="b">
        <f t="shared" si="1"/>
        <v>1</v>
      </c>
    </row>
    <row r="12">
      <c r="A12" s="1" t="s">
        <v>35</v>
      </c>
      <c r="B12" s="1" t="s">
        <v>18</v>
      </c>
      <c r="C12" s="3">
        <v>3.0</v>
      </c>
      <c r="D12" s="4"/>
      <c r="E12" s="3">
        <v>14.0</v>
      </c>
      <c r="F12" s="4"/>
      <c r="G12" s="4"/>
      <c r="I12" s="2" t="b">
        <f t="shared" si="1"/>
        <v>1</v>
      </c>
    </row>
    <row r="13">
      <c r="A13" s="1" t="s">
        <v>35</v>
      </c>
      <c r="B13" s="1" t="s">
        <v>18</v>
      </c>
      <c r="C13" s="3">
        <v>4.0</v>
      </c>
      <c r="D13" s="4"/>
      <c r="E13" s="3">
        <v>13.0</v>
      </c>
      <c r="F13" s="4"/>
      <c r="G13" s="4"/>
      <c r="I13" s="2" t="b">
        <f t="shared" si="1"/>
        <v>1</v>
      </c>
    </row>
    <row r="14">
      <c r="A14" s="1" t="s">
        <v>35</v>
      </c>
      <c r="B14" s="1" t="s">
        <v>18</v>
      </c>
      <c r="C14" s="3">
        <v>5.0</v>
      </c>
      <c r="D14" s="4"/>
      <c r="E14" s="3">
        <v>12.0</v>
      </c>
      <c r="F14" s="4"/>
      <c r="G14" s="4"/>
      <c r="I14" s="2" t="b">
        <f t="shared" si="1"/>
        <v>1</v>
      </c>
    </row>
    <row r="15">
      <c r="A15" s="1" t="s">
        <v>35</v>
      </c>
      <c r="B15" s="1" t="s">
        <v>18</v>
      </c>
      <c r="C15" s="3">
        <v>6.0</v>
      </c>
      <c r="D15" s="4"/>
      <c r="E15" s="3">
        <v>11.0</v>
      </c>
      <c r="F15" s="4"/>
      <c r="G15" s="4"/>
      <c r="I15" s="2" t="b">
        <f t="shared" si="1"/>
        <v>1</v>
      </c>
    </row>
    <row r="16">
      <c r="A16" s="1" t="s">
        <v>35</v>
      </c>
      <c r="B16" s="1" t="s">
        <v>18</v>
      </c>
      <c r="C16" s="3">
        <v>7.0</v>
      </c>
      <c r="D16" s="4"/>
      <c r="E16" s="3">
        <v>10.0</v>
      </c>
      <c r="F16" s="4"/>
      <c r="G16" s="4"/>
      <c r="I16" s="2" t="b">
        <f t="shared" si="1"/>
        <v>1</v>
      </c>
    </row>
    <row r="17">
      <c r="A17" s="1" t="s">
        <v>35</v>
      </c>
      <c r="B17" s="1" t="s">
        <v>18</v>
      </c>
      <c r="C17" s="3">
        <v>8.0</v>
      </c>
      <c r="D17" s="4"/>
      <c r="E17" s="3">
        <v>9.0</v>
      </c>
      <c r="F17" s="4"/>
      <c r="G17" s="4"/>
      <c r="I17" s="2" t="b">
        <f t="shared" si="1"/>
        <v>1</v>
      </c>
    </row>
    <row r="18">
      <c r="A18" s="1" t="s">
        <v>52</v>
      </c>
      <c r="B18" s="1" t="s">
        <v>18</v>
      </c>
      <c r="C18" s="3">
        <v>1.0</v>
      </c>
      <c r="D18" s="4"/>
      <c r="E18" s="3">
        <v>16.0</v>
      </c>
      <c r="F18" s="4"/>
      <c r="G18" s="4"/>
      <c r="I18" s="2" t="b">
        <f t="shared" si="1"/>
        <v>1</v>
      </c>
    </row>
    <row r="19">
      <c r="A19" s="1" t="s">
        <v>52</v>
      </c>
      <c r="B19" s="1" t="s">
        <v>18</v>
      </c>
      <c r="C19" s="3">
        <v>2.0</v>
      </c>
      <c r="D19" s="4"/>
      <c r="E19" s="3">
        <v>15.0</v>
      </c>
      <c r="F19" s="4"/>
      <c r="G19" s="4"/>
      <c r="I19" s="2" t="b">
        <f t="shared" si="1"/>
        <v>1</v>
      </c>
    </row>
    <row r="20">
      <c r="A20" s="1" t="s">
        <v>52</v>
      </c>
      <c r="B20" s="1" t="s">
        <v>18</v>
      </c>
      <c r="C20" s="3">
        <v>3.0</v>
      </c>
      <c r="D20" s="4"/>
      <c r="E20" s="3">
        <v>14.0</v>
      </c>
      <c r="F20" s="4"/>
      <c r="G20" s="4"/>
      <c r="I20" s="2" t="b">
        <f t="shared" si="1"/>
        <v>1</v>
      </c>
    </row>
    <row r="21">
      <c r="A21" s="1" t="s">
        <v>52</v>
      </c>
      <c r="B21" s="1" t="s">
        <v>18</v>
      </c>
      <c r="C21" s="3">
        <v>4.0</v>
      </c>
      <c r="D21" s="4"/>
      <c r="E21" s="3">
        <v>13.0</v>
      </c>
      <c r="F21" s="4"/>
      <c r="G21" s="4"/>
      <c r="I21" s="2" t="b">
        <f t="shared" si="1"/>
        <v>1</v>
      </c>
    </row>
    <row r="22">
      <c r="A22" s="1" t="s">
        <v>52</v>
      </c>
      <c r="B22" s="1" t="s">
        <v>18</v>
      </c>
      <c r="C22" s="3">
        <v>5.0</v>
      </c>
      <c r="D22" s="4"/>
      <c r="E22" s="3">
        <v>12.0</v>
      </c>
      <c r="F22" s="4"/>
      <c r="G22" s="4"/>
      <c r="I22" s="2" t="b">
        <f t="shared" si="1"/>
        <v>1</v>
      </c>
    </row>
    <row r="23">
      <c r="A23" s="1" t="s">
        <v>52</v>
      </c>
      <c r="B23" s="1" t="s">
        <v>18</v>
      </c>
      <c r="C23" s="3">
        <v>6.0</v>
      </c>
      <c r="D23" s="4"/>
      <c r="E23" s="3">
        <v>11.0</v>
      </c>
      <c r="F23" s="4"/>
      <c r="G23" s="4"/>
      <c r="I23" s="2" t="b">
        <f t="shared" si="1"/>
        <v>1</v>
      </c>
    </row>
    <row r="24">
      <c r="A24" s="1" t="s">
        <v>52</v>
      </c>
      <c r="B24" s="1" t="s">
        <v>18</v>
      </c>
      <c r="C24" s="3">
        <v>7.0</v>
      </c>
      <c r="D24" s="4"/>
      <c r="E24" s="3">
        <v>10.0</v>
      </c>
      <c r="F24" s="4"/>
      <c r="G24" s="4"/>
      <c r="I24" s="2" t="b">
        <f t="shared" si="1"/>
        <v>1</v>
      </c>
    </row>
    <row r="25">
      <c r="A25" s="1" t="s">
        <v>52</v>
      </c>
      <c r="B25" s="1" t="s">
        <v>18</v>
      </c>
      <c r="C25" s="3">
        <v>8.0</v>
      </c>
      <c r="D25" s="4"/>
      <c r="E25" s="3">
        <v>9.0</v>
      </c>
      <c r="F25" s="4"/>
      <c r="G25" s="4"/>
      <c r="I25" s="2" t="b">
        <f t="shared" si="1"/>
        <v>1</v>
      </c>
    </row>
    <row r="26">
      <c r="A26" s="1" t="s">
        <v>69</v>
      </c>
      <c r="B26" s="1" t="s">
        <v>18</v>
      </c>
      <c r="C26" s="3">
        <v>1.0</v>
      </c>
      <c r="D26" s="4"/>
      <c r="E26" s="3">
        <v>16.0</v>
      </c>
      <c r="F26" s="4"/>
      <c r="G26" s="4"/>
      <c r="I26" s="2" t="b">
        <f t="shared" si="1"/>
        <v>1</v>
      </c>
    </row>
    <row r="27">
      <c r="A27" s="1" t="s">
        <v>69</v>
      </c>
      <c r="B27" s="1" t="s">
        <v>18</v>
      </c>
      <c r="C27" s="3">
        <v>2.0</v>
      </c>
      <c r="D27" s="4"/>
      <c r="E27" s="3">
        <v>15.0</v>
      </c>
      <c r="F27" s="4"/>
      <c r="G27" s="4"/>
      <c r="I27" s="2" t="b">
        <f t="shared" si="1"/>
        <v>1</v>
      </c>
    </row>
    <row r="28">
      <c r="A28" s="1" t="s">
        <v>69</v>
      </c>
      <c r="B28" s="1" t="s">
        <v>18</v>
      </c>
      <c r="C28" s="3">
        <v>3.0</v>
      </c>
      <c r="D28" s="4"/>
      <c r="E28" s="3">
        <v>14.0</v>
      </c>
      <c r="F28" s="4"/>
      <c r="G28" s="4"/>
      <c r="I28" s="2" t="b">
        <f t="shared" si="1"/>
        <v>1</v>
      </c>
    </row>
    <row r="29">
      <c r="A29" s="1" t="s">
        <v>69</v>
      </c>
      <c r="B29" s="1" t="s">
        <v>18</v>
      </c>
      <c r="C29" s="3">
        <v>4.0</v>
      </c>
      <c r="D29" s="4"/>
      <c r="E29" s="3">
        <v>13.0</v>
      </c>
      <c r="F29" s="4"/>
      <c r="G29" s="4"/>
      <c r="I29" s="2" t="b">
        <f t="shared" si="1"/>
        <v>1</v>
      </c>
    </row>
    <row r="30">
      <c r="A30" s="1" t="s">
        <v>69</v>
      </c>
      <c r="B30" s="1" t="s">
        <v>18</v>
      </c>
      <c r="C30" s="3">
        <v>5.0</v>
      </c>
      <c r="D30" s="4"/>
      <c r="E30" s="3">
        <v>12.0</v>
      </c>
      <c r="F30" s="4"/>
      <c r="G30" s="4"/>
      <c r="I30" s="2" t="b">
        <f t="shared" si="1"/>
        <v>1</v>
      </c>
    </row>
    <row r="31">
      <c r="A31" s="1" t="s">
        <v>69</v>
      </c>
      <c r="B31" s="1" t="s">
        <v>18</v>
      </c>
      <c r="C31" s="3">
        <v>6.0</v>
      </c>
      <c r="D31" s="4"/>
      <c r="E31" s="3">
        <v>11.0</v>
      </c>
      <c r="F31" s="4"/>
      <c r="G31" s="4"/>
      <c r="I31" s="2" t="b">
        <f t="shared" si="1"/>
        <v>1</v>
      </c>
    </row>
    <row r="32">
      <c r="A32" s="1" t="s">
        <v>69</v>
      </c>
      <c r="B32" s="1" t="s">
        <v>18</v>
      </c>
      <c r="C32" s="3">
        <v>7.0</v>
      </c>
      <c r="D32" s="4"/>
      <c r="E32" s="3">
        <v>10.0</v>
      </c>
      <c r="F32" s="4"/>
      <c r="G32" s="4"/>
      <c r="I32" s="2" t="b">
        <f t="shared" si="1"/>
        <v>1</v>
      </c>
    </row>
    <row r="33">
      <c r="A33" s="1" t="s">
        <v>69</v>
      </c>
      <c r="B33" s="1" t="s">
        <v>18</v>
      </c>
      <c r="C33" s="3">
        <v>8.0</v>
      </c>
      <c r="D33" s="4"/>
      <c r="E33" s="3">
        <v>9.0</v>
      </c>
      <c r="F33" s="4"/>
      <c r="G33" s="4"/>
      <c r="I33" s="2" t="b">
        <f t="shared" si="1"/>
        <v>1</v>
      </c>
    </row>
    <row r="34">
      <c r="A34" s="1" t="s">
        <v>17</v>
      </c>
      <c r="B34" s="1" t="s">
        <v>7</v>
      </c>
      <c r="I34" s="2" t="b">
        <f t="shared" si="1"/>
        <v>1</v>
      </c>
    </row>
    <row r="35">
      <c r="A35" s="1" t="s">
        <v>17</v>
      </c>
      <c r="B35" s="1" t="s">
        <v>7</v>
      </c>
      <c r="I35" s="2" t="b">
        <f t="shared" si="1"/>
        <v>1</v>
      </c>
    </row>
    <row r="36">
      <c r="A36" s="1" t="s">
        <v>17</v>
      </c>
      <c r="B36" s="1" t="s">
        <v>7</v>
      </c>
      <c r="I36" s="2" t="b">
        <f t="shared" si="1"/>
        <v>1</v>
      </c>
    </row>
    <row r="37">
      <c r="A37" s="1" t="s">
        <v>17</v>
      </c>
      <c r="B37" s="1" t="s">
        <v>7</v>
      </c>
      <c r="I37" s="2" t="b">
        <f t="shared" si="1"/>
        <v>1</v>
      </c>
    </row>
    <row r="38">
      <c r="A38" s="1" t="s">
        <v>35</v>
      </c>
      <c r="B38" s="1" t="s">
        <v>7</v>
      </c>
      <c r="I38" s="2" t="b">
        <f t="shared" si="1"/>
        <v>1</v>
      </c>
    </row>
    <row r="39">
      <c r="A39" s="1" t="s">
        <v>35</v>
      </c>
      <c r="B39" s="1" t="s">
        <v>7</v>
      </c>
      <c r="I39" s="2" t="b">
        <f t="shared" si="1"/>
        <v>1</v>
      </c>
    </row>
    <row r="40">
      <c r="A40" s="1" t="s">
        <v>35</v>
      </c>
      <c r="B40" s="1" t="s">
        <v>7</v>
      </c>
      <c r="I40" s="2" t="b">
        <f t="shared" si="1"/>
        <v>1</v>
      </c>
    </row>
    <row r="41">
      <c r="A41" s="1" t="s">
        <v>35</v>
      </c>
      <c r="B41" s="1" t="s">
        <v>7</v>
      </c>
      <c r="I41" s="2" t="b">
        <f t="shared" si="1"/>
        <v>1</v>
      </c>
    </row>
    <row r="42">
      <c r="A42" s="1" t="s">
        <v>52</v>
      </c>
      <c r="B42" s="1" t="s">
        <v>7</v>
      </c>
      <c r="I42" s="2" t="b">
        <f t="shared" si="1"/>
        <v>1</v>
      </c>
    </row>
    <row r="43">
      <c r="A43" s="1" t="s">
        <v>52</v>
      </c>
      <c r="B43" s="1" t="s">
        <v>7</v>
      </c>
      <c r="I43" s="2" t="b">
        <f t="shared" si="1"/>
        <v>1</v>
      </c>
    </row>
    <row r="44">
      <c r="A44" s="1" t="s">
        <v>52</v>
      </c>
      <c r="B44" s="1" t="s">
        <v>7</v>
      </c>
      <c r="I44" s="2" t="b">
        <f t="shared" si="1"/>
        <v>1</v>
      </c>
    </row>
    <row r="45">
      <c r="A45" s="1" t="s">
        <v>52</v>
      </c>
      <c r="B45" s="1" t="s">
        <v>7</v>
      </c>
      <c r="I45" s="2" t="b">
        <f t="shared" si="1"/>
        <v>1</v>
      </c>
    </row>
    <row r="46">
      <c r="A46" s="1" t="s">
        <v>69</v>
      </c>
      <c r="B46" s="1" t="s">
        <v>7</v>
      </c>
      <c r="I46" s="2" t="b">
        <f t="shared" si="1"/>
        <v>1</v>
      </c>
    </row>
    <row r="47">
      <c r="A47" s="1" t="s">
        <v>69</v>
      </c>
      <c r="B47" s="1" t="s">
        <v>7</v>
      </c>
      <c r="I47" s="2" t="b">
        <f t="shared" si="1"/>
        <v>1</v>
      </c>
    </row>
    <row r="48">
      <c r="A48" s="1" t="s">
        <v>69</v>
      </c>
      <c r="B48" s="1" t="s">
        <v>7</v>
      </c>
      <c r="I48" s="2" t="b">
        <f t="shared" si="1"/>
        <v>1</v>
      </c>
    </row>
    <row r="49">
      <c r="A49" s="1" t="s">
        <v>69</v>
      </c>
      <c r="B49" s="1" t="s">
        <v>7</v>
      </c>
      <c r="I49" s="2" t="b">
        <f t="shared" si="1"/>
        <v>1</v>
      </c>
    </row>
    <row r="50">
      <c r="A50" s="1" t="s">
        <v>17</v>
      </c>
      <c r="B50" s="1" t="s">
        <v>6</v>
      </c>
      <c r="I50" s="2" t="b">
        <f t="shared" si="1"/>
        <v>1</v>
      </c>
    </row>
    <row r="51">
      <c r="A51" s="1" t="s">
        <v>17</v>
      </c>
      <c r="B51" s="1" t="s">
        <v>6</v>
      </c>
      <c r="I51" s="2" t="b">
        <f t="shared" si="1"/>
        <v>1</v>
      </c>
    </row>
    <row r="52">
      <c r="A52" s="1" t="s">
        <v>35</v>
      </c>
      <c r="B52" s="1" t="s">
        <v>6</v>
      </c>
      <c r="I52" s="2" t="b">
        <f t="shared" si="1"/>
        <v>1</v>
      </c>
    </row>
    <row r="53">
      <c r="A53" s="1" t="s">
        <v>35</v>
      </c>
      <c r="B53" s="1" t="s">
        <v>6</v>
      </c>
      <c r="I53" s="2" t="b">
        <f t="shared" si="1"/>
        <v>1</v>
      </c>
    </row>
    <row r="54">
      <c r="A54" s="1" t="s">
        <v>52</v>
      </c>
      <c r="B54" s="1" t="s">
        <v>6</v>
      </c>
      <c r="I54" s="2" t="b">
        <f t="shared" si="1"/>
        <v>1</v>
      </c>
    </row>
    <row r="55">
      <c r="A55" s="1" t="s">
        <v>52</v>
      </c>
      <c r="B55" s="1" t="s">
        <v>6</v>
      </c>
      <c r="I55" s="2" t="b">
        <f t="shared" si="1"/>
        <v>1</v>
      </c>
    </row>
    <row r="56">
      <c r="A56" s="1" t="s">
        <v>69</v>
      </c>
      <c r="B56" s="1" t="s">
        <v>6</v>
      </c>
      <c r="I56" s="2" t="b">
        <f t="shared" si="1"/>
        <v>1</v>
      </c>
    </row>
    <row r="57">
      <c r="A57" s="1" t="s">
        <v>69</v>
      </c>
      <c r="B57" s="1" t="s">
        <v>6</v>
      </c>
      <c r="I57" s="2" t="b">
        <f t="shared" si="1"/>
        <v>1</v>
      </c>
    </row>
    <row r="58">
      <c r="A58" s="1" t="s">
        <v>17</v>
      </c>
      <c r="B58" s="1" t="s">
        <v>5</v>
      </c>
      <c r="I58" s="2" t="b">
        <f t="shared" si="1"/>
        <v>1</v>
      </c>
    </row>
    <row r="59">
      <c r="A59" s="1" t="s">
        <v>35</v>
      </c>
      <c r="B59" s="1" t="s">
        <v>5</v>
      </c>
      <c r="I59" s="2" t="b">
        <f t="shared" si="1"/>
        <v>1</v>
      </c>
    </row>
    <row r="60">
      <c r="A60" s="1" t="s">
        <v>52</v>
      </c>
      <c r="B60" s="1" t="s">
        <v>5</v>
      </c>
      <c r="I60" s="2" t="b">
        <f t="shared" si="1"/>
        <v>1</v>
      </c>
    </row>
    <row r="61">
      <c r="A61" s="1" t="s">
        <v>69</v>
      </c>
      <c r="B61" s="1" t="s">
        <v>5</v>
      </c>
      <c r="I61" s="2" t="b">
        <f t="shared" si="1"/>
        <v>1</v>
      </c>
    </row>
    <row r="62">
      <c r="A62" s="1" t="s">
        <v>4</v>
      </c>
      <c r="B62" s="1" t="s">
        <v>4</v>
      </c>
      <c r="I62" s="2" t="b">
        <f t="shared" si="1"/>
        <v>1</v>
      </c>
    </row>
    <row r="63">
      <c r="A63" s="1" t="s">
        <v>4</v>
      </c>
      <c r="B63" s="1" t="s">
        <v>4</v>
      </c>
      <c r="I63" s="2" t="b">
        <f t="shared" si="1"/>
        <v>1</v>
      </c>
    </row>
    <row r="64">
      <c r="A64" s="1" t="s">
        <v>4</v>
      </c>
      <c r="B64" s="1" t="s">
        <v>3</v>
      </c>
      <c r="I64" s="2" t="b">
        <f t="shared" si="1"/>
        <v>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11.75"/>
    <col customWidth="1" min="3" max="3" width="8.88"/>
    <col customWidth="1" min="4" max="4" width="9.0"/>
    <col customWidth="1" min="5" max="5" width="8.5"/>
    <col customWidth="1" min="6" max="6" width="8.63"/>
    <col customWidth="1" min="7" max="7" width="6.25"/>
    <col customWidth="1" min="8" max="8" width="10.75"/>
    <col customWidth="1" min="9" max="9" width="6.5"/>
    <col customWidth="1" min="11" max="11" width="11.75"/>
    <col customWidth="1" min="12" max="12" width="6.5"/>
    <col customWidth="1" min="13" max="13" width="5.63"/>
  </cols>
  <sheetData>
    <row r="1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K1" s="1" t="s">
        <v>9</v>
      </c>
      <c r="L1" s="1" t="s">
        <v>16</v>
      </c>
      <c r="M1" s="1" t="s">
        <v>1</v>
      </c>
    </row>
    <row r="2">
      <c r="A2" s="1" t="s">
        <v>17</v>
      </c>
      <c r="B2" s="1" t="s">
        <v>18</v>
      </c>
      <c r="C2" s="3">
        <v>1.0</v>
      </c>
      <c r="D2" s="4" t="s">
        <v>48</v>
      </c>
      <c r="E2" s="3">
        <v>16.0</v>
      </c>
      <c r="F2" s="4" t="s">
        <v>204</v>
      </c>
      <c r="G2" s="4" t="s">
        <v>48</v>
      </c>
      <c r="I2" s="2" t="b">
        <f t="shared" ref="I2:I64" si="1">G2=H2</f>
        <v>0</v>
      </c>
      <c r="K2" s="1" t="s">
        <v>18</v>
      </c>
      <c r="M2" s="2">
        <f>1*L2</f>
        <v>0</v>
      </c>
    </row>
    <row r="3">
      <c r="A3" s="1" t="s">
        <v>17</v>
      </c>
      <c r="B3" s="1" t="s">
        <v>18</v>
      </c>
      <c r="C3" s="3">
        <v>2.0</v>
      </c>
      <c r="D3" s="4" t="s">
        <v>33</v>
      </c>
      <c r="E3" s="3">
        <v>15.0</v>
      </c>
      <c r="F3" s="4" t="s">
        <v>205</v>
      </c>
      <c r="G3" s="4" t="s">
        <v>33</v>
      </c>
      <c r="I3" s="2" t="b">
        <f t="shared" si="1"/>
        <v>0</v>
      </c>
      <c r="K3" s="1" t="s">
        <v>7</v>
      </c>
      <c r="M3" s="2">
        <f>2*L3</f>
        <v>0</v>
      </c>
    </row>
    <row r="4">
      <c r="A4" s="1" t="s">
        <v>17</v>
      </c>
      <c r="B4" s="1" t="s">
        <v>18</v>
      </c>
      <c r="C4" s="3">
        <v>3.0</v>
      </c>
      <c r="D4" s="4" t="s">
        <v>61</v>
      </c>
      <c r="E4" s="3">
        <v>14.0</v>
      </c>
      <c r="F4" s="4" t="s">
        <v>146</v>
      </c>
      <c r="G4" s="4" t="s">
        <v>61</v>
      </c>
      <c r="I4" s="2" t="b">
        <f t="shared" si="1"/>
        <v>0</v>
      </c>
      <c r="K4" s="1" t="s">
        <v>6</v>
      </c>
      <c r="M4" s="2">
        <f>4*L4</f>
        <v>0</v>
      </c>
    </row>
    <row r="5">
      <c r="A5" s="1" t="s">
        <v>17</v>
      </c>
      <c r="B5" s="1" t="s">
        <v>18</v>
      </c>
      <c r="C5" s="3">
        <v>4.0</v>
      </c>
      <c r="D5" s="4" t="s">
        <v>76</v>
      </c>
      <c r="E5" s="3">
        <v>13.0</v>
      </c>
      <c r="F5" s="4" t="s">
        <v>107</v>
      </c>
      <c r="G5" s="4" t="s">
        <v>76</v>
      </c>
      <c r="I5" s="2" t="b">
        <f t="shared" si="1"/>
        <v>0</v>
      </c>
      <c r="K5" s="1" t="s">
        <v>5</v>
      </c>
      <c r="M5" s="2">
        <f>8*L5</f>
        <v>0</v>
      </c>
    </row>
    <row r="6">
      <c r="A6" s="1" t="s">
        <v>17</v>
      </c>
      <c r="B6" s="1" t="s">
        <v>18</v>
      </c>
      <c r="C6" s="3">
        <v>5.0</v>
      </c>
      <c r="D6" s="4" t="s">
        <v>23</v>
      </c>
      <c r="E6" s="3">
        <v>12.0</v>
      </c>
      <c r="F6" s="4" t="s">
        <v>103</v>
      </c>
      <c r="G6" s="4" t="s">
        <v>23</v>
      </c>
      <c r="I6" s="2" t="b">
        <f t="shared" si="1"/>
        <v>0</v>
      </c>
      <c r="K6" s="1" t="s">
        <v>4</v>
      </c>
      <c r="M6" s="2">
        <f>16*L6</f>
        <v>0</v>
      </c>
    </row>
    <row r="7">
      <c r="A7" s="1" t="s">
        <v>17</v>
      </c>
      <c r="B7" s="1" t="s">
        <v>18</v>
      </c>
      <c r="C7" s="3">
        <v>6.0</v>
      </c>
      <c r="D7" s="4" t="s">
        <v>201</v>
      </c>
      <c r="E7" s="3">
        <v>11.0</v>
      </c>
      <c r="F7" s="4" t="s">
        <v>206</v>
      </c>
      <c r="G7" s="4" t="s">
        <v>201</v>
      </c>
      <c r="I7" s="2" t="b">
        <f t="shared" si="1"/>
        <v>0</v>
      </c>
      <c r="K7" s="1" t="s">
        <v>3</v>
      </c>
      <c r="M7" s="2">
        <f>32*L7</f>
        <v>0</v>
      </c>
    </row>
    <row r="8">
      <c r="A8" s="1" t="s">
        <v>17</v>
      </c>
      <c r="B8" s="1" t="s">
        <v>18</v>
      </c>
      <c r="C8" s="3">
        <v>7.0</v>
      </c>
      <c r="D8" s="4" t="s">
        <v>27</v>
      </c>
      <c r="E8" s="3">
        <v>10.0</v>
      </c>
      <c r="F8" s="4" t="s">
        <v>207</v>
      </c>
      <c r="G8" s="4" t="s">
        <v>27</v>
      </c>
      <c r="I8" s="2" t="b">
        <f t="shared" si="1"/>
        <v>0</v>
      </c>
      <c r="L8" s="2">
        <f t="shared" ref="L8:M8" si="2">SUM(L2:L7)</f>
        <v>0</v>
      </c>
      <c r="M8" s="2">
        <f t="shared" si="2"/>
        <v>0</v>
      </c>
    </row>
    <row r="9">
      <c r="A9" s="1" t="s">
        <v>17</v>
      </c>
      <c r="B9" s="1" t="s">
        <v>18</v>
      </c>
      <c r="C9" s="3">
        <v>8.0</v>
      </c>
      <c r="D9" s="4" t="s">
        <v>208</v>
      </c>
      <c r="E9" s="3">
        <v>9.0</v>
      </c>
      <c r="F9" s="4" t="s">
        <v>21</v>
      </c>
      <c r="G9" s="4" t="s">
        <v>21</v>
      </c>
      <c r="I9" s="2" t="b">
        <f t="shared" si="1"/>
        <v>0</v>
      </c>
    </row>
    <row r="10">
      <c r="A10" s="1" t="s">
        <v>35</v>
      </c>
      <c r="B10" s="1" t="s">
        <v>18</v>
      </c>
      <c r="C10" s="3">
        <v>1.0</v>
      </c>
      <c r="D10" s="4" t="s">
        <v>84</v>
      </c>
      <c r="E10" s="3">
        <v>16.0</v>
      </c>
      <c r="F10" s="4" t="s">
        <v>90</v>
      </c>
      <c r="G10" s="4" t="s">
        <v>84</v>
      </c>
      <c r="I10" s="2" t="b">
        <f t="shared" si="1"/>
        <v>0</v>
      </c>
    </row>
    <row r="11">
      <c r="A11" s="1" t="s">
        <v>35</v>
      </c>
      <c r="B11" s="1" t="s">
        <v>18</v>
      </c>
      <c r="C11" s="3">
        <v>2.0</v>
      </c>
      <c r="D11" s="4" t="s">
        <v>59</v>
      </c>
      <c r="E11" s="3">
        <v>15.0</v>
      </c>
      <c r="F11" s="4" t="s">
        <v>209</v>
      </c>
      <c r="G11" s="4" t="s">
        <v>59</v>
      </c>
      <c r="I11" s="2" t="b">
        <f t="shared" si="1"/>
        <v>0</v>
      </c>
    </row>
    <row r="12">
      <c r="A12" s="1" t="s">
        <v>35</v>
      </c>
      <c r="B12" s="1" t="s">
        <v>18</v>
      </c>
      <c r="C12" s="3">
        <v>3.0</v>
      </c>
      <c r="D12" s="4" t="s">
        <v>210</v>
      </c>
      <c r="E12" s="3">
        <v>14.0</v>
      </c>
      <c r="F12" s="4" t="s">
        <v>211</v>
      </c>
      <c r="G12" s="4" t="s">
        <v>210</v>
      </c>
      <c r="I12" s="2" t="b">
        <f t="shared" si="1"/>
        <v>0</v>
      </c>
    </row>
    <row r="13">
      <c r="A13" s="1" t="s">
        <v>35</v>
      </c>
      <c r="B13" s="1" t="s">
        <v>18</v>
      </c>
      <c r="C13" s="3">
        <v>4.0</v>
      </c>
      <c r="D13" s="4" t="s">
        <v>127</v>
      </c>
      <c r="E13" s="3">
        <v>13.0</v>
      </c>
      <c r="F13" s="4" t="s">
        <v>212</v>
      </c>
      <c r="G13" s="4" t="s">
        <v>127</v>
      </c>
      <c r="I13" s="2" t="b">
        <f t="shared" si="1"/>
        <v>0</v>
      </c>
    </row>
    <row r="14">
      <c r="A14" s="1" t="s">
        <v>35</v>
      </c>
      <c r="B14" s="1" t="s">
        <v>18</v>
      </c>
      <c r="C14" s="3">
        <v>5.0</v>
      </c>
      <c r="D14" s="4" t="s">
        <v>153</v>
      </c>
      <c r="E14" s="3">
        <v>12.0</v>
      </c>
      <c r="F14" s="4" t="s">
        <v>123</v>
      </c>
      <c r="G14" s="4" t="s">
        <v>153</v>
      </c>
      <c r="I14" s="2" t="b">
        <f t="shared" si="1"/>
        <v>0</v>
      </c>
    </row>
    <row r="15">
      <c r="A15" s="1" t="s">
        <v>35</v>
      </c>
      <c r="B15" s="1" t="s">
        <v>18</v>
      </c>
      <c r="C15" s="3">
        <v>6.0</v>
      </c>
      <c r="D15" s="4" t="s">
        <v>42</v>
      </c>
      <c r="E15" s="3">
        <v>11.0</v>
      </c>
      <c r="F15" s="4" t="s">
        <v>81</v>
      </c>
      <c r="G15" s="4" t="s">
        <v>81</v>
      </c>
      <c r="I15" s="2" t="b">
        <f t="shared" si="1"/>
        <v>0</v>
      </c>
    </row>
    <row r="16">
      <c r="A16" s="1" t="s">
        <v>35</v>
      </c>
      <c r="B16" s="1" t="s">
        <v>18</v>
      </c>
      <c r="C16" s="3">
        <v>7.0</v>
      </c>
      <c r="D16" s="4" t="s">
        <v>65</v>
      </c>
      <c r="E16" s="3">
        <v>10.0</v>
      </c>
      <c r="F16" s="4" t="s">
        <v>64</v>
      </c>
      <c r="G16" s="4" t="s">
        <v>65</v>
      </c>
      <c r="I16" s="2" t="b">
        <f t="shared" si="1"/>
        <v>0</v>
      </c>
    </row>
    <row r="17">
      <c r="A17" s="1" t="s">
        <v>35</v>
      </c>
      <c r="B17" s="1" t="s">
        <v>18</v>
      </c>
      <c r="C17" s="3">
        <v>8.0</v>
      </c>
      <c r="D17" s="4" t="s">
        <v>97</v>
      </c>
      <c r="E17" s="3">
        <v>9.0</v>
      </c>
      <c r="F17" s="4" t="s">
        <v>66</v>
      </c>
      <c r="G17" s="4" t="s">
        <v>97</v>
      </c>
      <c r="I17" s="2" t="b">
        <f t="shared" si="1"/>
        <v>0</v>
      </c>
    </row>
    <row r="18">
      <c r="A18" s="1" t="s">
        <v>52</v>
      </c>
      <c r="B18" s="1" t="s">
        <v>18</v>
      </c>
      <c r="C18" s="3">
        <v>1.0</v>
      </c>
      <c r="D18" s="4" t="s">
        <v>160</v>
      </c>
      <c r="E18" s="3">
        <v>16.0</v>
      </c>
      <c r="F18" s="4" t="s">
        <v>54</v>
      </c>
      <c r="G18" s="4" t="s">
        <v>160</v>
      </c>
      <c r="I18" s="2" t="b">
        <f t="shared" si="1"/>
        <v>0</v>
      </c>
    </row>
    <row r="19">
      <c r="A19" s="1" t="s">
        <v>52</v>
      </c>
      <c r="B19" s="1" t="s">
        <v>18</v>
      </c>
      <c r="C19" s="3">
        <v>2.0</v>
      </c>
      <c r="D19" s="4" t="s">
        <v>53</v>
      </c>
      <c r="E19" s="3">
        <v>15.0</v>
      </c>
      <c r="F19" s="4" t="s">
        <v>75</v>
      </c>
      <c r="G19" s="4" t="s">
        <v>53</v>
      </c>
      <c r="I19" s="2" t="b">
        <f t="shared" si="1"/>
        <v>0</v>
      </c>
    </row>
    <row r="20">
      <c r="A20" s="1" t="s">
        <v>52</v>
      </c>
      <c r="B20" s="1" t="s">
        <v>18</v>
      </c>
      <c r="C20" s="3">
        <v>3.0</v>
      </c>
      <c r="D20" s="4" t="s">
        <v>68</v>
      </c>
      <c r="E20" s="3">
        <v>14.0</v>
      </c>
      <c r="F20" s="4" t="s">
        <v>213</v>
      </c>
      <c r="G20" s="4" t="s">
        <v>68</v>
      </c>
      <c r="I20" s="2" t="b">
        <f t="shared" si="1"/>
        <v>0</v>
      </c>
    </row>
    <row r="21">
      <c r="A21" s="1" t="s">
        <v>52</v>
      </c>
      <c r="B21" s="1" t="s">
        <v>18</v>
      </c>
      <c r="C21" s="3">
        <v>4.0</v>
      </c>
      <c r="D21" s="4" t="s">
        <v>36</v>
      </c>
      <c r="E21" s="3">
        <v>13.0</v>
      </c>
      <c r="F21" s="4" t="s">
        <v>214</v>
      </c>
      <c r="G21" s="4" t="s">
        <v>36</v>
      </c>
      <c r="I21" s="2" t="b">
        <f t="shared" si="1"/>
        <v>0</v>
      </c>
    </row>
    <row r="22">
      <c r="A22" s="1" t="s">
        <v>52</v>
      </c>
      <c r="B22" s="1" t="s">
        <v>18</v>
      </c>
      <c r="C22" s="3">
        <v>5.0</v>
      </c>
      <c r="D22" s="4" t="s">
        <v>125</v>
      </c>
      <c r="E22" s="3">
        <v>12.0</v>
      </c>
      <c r="F22" s="4" t="s">
        <v>41</v>
      </c>
      <c r="G22" s="4" t="s">
        <v>125</v>
      </c>
      <c r="I22" s="2" t="b">
        <f t="shared" si="1"/>
        <v>0</v>
      </c>
    </row>
    <row r="23">
      <c r="A23" s="1" t="s">
        <v>52</v>
      </c>
      <c r="B23" s="1" t="s">
        <v>18</v>
      </c>
      <c r="C23" s="3">
        <v>6.0</v>
      </c>
      <c r="D23" s="4" t="s">
        <v>215</v>
      </c>
      <c r="E23" s="3">
        <v>11.0</v>
      </c>
      <c r="F23" s="4" t="s">
        <v>134</v>
      </c>
      <c r="G23" s="4" t="s">
        <v>215</v>
      </c>
      <c r="I23" s="2" t="b">
        <f t="shared" si="1"/>
        <v>0</v>
      </c>
    </row>
    <row r="24">
      <c r="A24" s="1" t="s">
        <v>52</v>
      </c>
      <c r="B24" s="1" t="s">
        <v>18</v>
      </c>
      <c r="C24" s="3">
        <v>7.0</v>
      </c>
      <c r="D24" s="4" t="s">
        <v>115</v>
      </c>
      <c r="E24" s="3">
        <v>10.0</v>
      </c>
      <c r="F24" s="4" t="s">
        <v>31</v>
      </c>
      <c r="G24" s="4" t="s">
        <v>115</v>
      </c>
      <c r="I24" s="2" t="b">
        <f t="shared" si="1"/>
        <v>0</v>
      </c>
    </row>
    <row r="25">
      <c r="A25" s="1" t="s">
        <v>52</v>
      </c>
      <c r="B25" s="1" t="s">
        <v>18</v>
      </c>
      <c r="C25" s="3">
        <v>8.0</v>
      </c>
      <c r="D25" s="4" t="s">
        <v>57</v>
      </c>
      <c r="E25" s="3">
        <v>9.0</v>
      </c>
      <c r="F25" s="4" t="s">
        <v>156</v>
      </c>
      <c r="G25" s="4" t="s">
        <v>57</v>
      </c>
      <c r="I25" s="2" t="b">
        <f t="shared" si="1"/>
        <v>0</v>
      </c>
    </row>
    <row r="26">
      <c r="A26" s="1" t="s">
        <v>69</v>
      </c>
      <c r="B26" s="1" t="s">
        <v>18</v>
      </c>
      <c r="C26" s="3">
        <v>1.0</v>
      </c>
      <c r="D26" s="4" t="s">
        <v>30</v>
      </c>
      <c r="E26" s="3">
        <v>16.0</v>
      </c>
      <c r="F26" s="4" t="s">
        <v>216</v>
      </c>
      <c r="G26" s="4" t="s">
        <v>30</v>
      </c>
      <c r="I26" s="2" t="b">
        <f t="shared" si="1"/>
        <v>0</v>
      </c>
    </row>
    <row r="27">
      <c r="A27" s="1" t="s">
        <v>69</v>
      </c>
      <c r="B27" s="1" t="s">
        <v>18</v>
      </c>
      <c r="C27" s="3">
        <v>2.0</v>
      </c>
      <c r="D27" s="4" t="s">
        <v>74</v>
      </c>
      <c r="E27" s="3">
        <v>15.0</v>
      </c>
      <c r="F27" s="4" t="s">
        <v>217</v>
      </c>
      <c r="G27" s="4" t="s">
        <v>74</v>
      </c>
      <c r="I27" s="2" t="b">
        <f t="shared" si="1"/>
        <v>0</v>
      </c>
    </row>
    <row r="28">
      <c r="A28" s="1" t="s">
        <v>69</v>
      </c>
      <c r="B28" s="1" t="s">
        <v>18</v>
      </c>
      <c r="C28" s="3">
        <v>3.0</v>
      </c>
      <c r="D28" s="4" t="s">
        <v>82</v>
      </c>
      <c r="E28" s="3">
        <v>14.0</v>
      </c>
      <c r="F28" s="4" t="s">
        <v>218</v>
      </c>
      <c r="G28" s="4" t="s">
        <v>82</v>
      </c>
      <c r="I28" s="2" t="b">
        <f t="shared" si="1"/>
        <v>0</v>
      </c>
    </row>
    <row r="29">
      <c r="A29" s="1" t="s">
        <v>69</v>
      </c>
      <c r="B29" s="1" t="s">
        <v>18</v>
      </c>
      <c r="C29" s="3">
        <v>4.0</v>
      </c>
      <c r="D29" s="4" t="s">
        <v>219</v>
      </c>
      <c r="E29" s="3">
        <v>13.0</v>
      </c>
      <c r="F29" s="4" t="s">
        <v>181</v>
      </c>
      <c r="G29" s="4" t="s">
        <v>219</v>
      </c>
      <c r="I29" s="2" t="b">
        <f t="shared" si="1"/>
        <v>0</v>
      </c>
    </row>
    <row r="30">
      <c r="A30" s="1" t="s">
        <v>69</v>
      </c>
      <c r="B30" s="1" t="s">
        <v>18</v>
      </c>
      <c r="C30" s="3">
        <v>5.0</v>
      </c>
      <c r="D30" s="4" t="s">
        <v>195</v>
      </c>
      <c r="E30" s="3">
        <v>12.0</v>
      </c>
      <c r="F30" s="4" t="s">
        <v>220</v>
      </c>
      <c r="G30" s="4" t="s">
        <v>195</v>
      </c>
      <c r="I30" s="2" t="b">
        <f t="shared" si="1"/>
        <v>0</v>
      </c>
    </row>
    <row r="31">
      <c r="A31" s="1" t="s">
        <v>69</v>
      </c>
      <c r="B31" s="1" t="s">
        <v>18</v>
      </c>
      <c r="C31" s="3">
        <v>6.0</v>
      </c>
      <c r="D31" s="4" t="s">
        <v>34</v>
      </c>
      <c r="E31" s="3">
        <v>11.0</v>
      </c>
      <c r="F31" s="4" t="s">
        <v>221</v>
      </c>
      <c r="G31" s="4" t="s">
        <v>221</v>
      </c>
      <c r="I31" s="2" t="b">
        <f t="shared" si="1"/>
        <v>0</v>
      </c>
    </row>
    <row r="32">
      <c r="A32" s="1" t="s">
        <v>69</v>
      </c>
      <c r="B32" s="1" t="s">
        <v>18</v>
      </c>
      <c r="C32" s="3">
        <v>7.0</v>
      </c>
      <c r="D32" s="4" t="s">
        <v>102</v>
      </c>
      <c r="E32" s="3">
        <v>10.0</v>
      </c>
      <c r="F32" s="4" t="s">
        <v>222</v>
      </c>
      <c r="G32" s="4" t="s">
        <v>222</v>
      </c>
      <c r="I32" s="2" t="b">
        <f t="shared" si="1"/>
        <v>0</v>
      </c>
    </row>
    <row r="33">
      <c r="A33" s="1" t="s">
        <v>69</v>
      </c>
      <c r="B33" s="1" t="s">
        <v>18</v>
      </c>
      <c r="C33" s="3">
        <v>8.0</v>
      </c>
      <c r="D33" s="4" t="s">
        <v>49</v>
      </c>
      <c r="E33" s="3">
        <v>9.0</v>
      </c>
      <c r="F33" s="4" t="s">
        <v>166</v>
      </c>
      <c r="G33" s="4" t="s">
        <v>49</v>
      </c>
      <c r="I33" s="2" t="b">
        <f t="shared" si="1"/>
        <v>0</v>
      </c>
    </row>
    <row r="34">
      <c r="A34" s="1" t="s">
        <v>17</v>
      </c>
      <c r="B34" s="1" t="s">
        <v>7</v>
      </c>
      <c r="I34" s="2" t="b">
        <f t="shared" si="1"/>
        <v>1</v>
      </c>
    </row>
    <row r="35">
      <c r="A35" s="1" t="s">
        <v>17</v>
      </c>
      <c r="B35" s="1" t="s">
        <v>7</v>
      </c>
      <c r="I35" s="2" t="b">
        <f t="shared" si="1"/>
        <v>1</v>
      </c>
    </row>
    <row r="36">
      <c r="A36" s="1" t="s">
        <v>17</v>
      </c>
      <c r="B36" s="1" t="s">
        <v>7</v>
      </c>
      <c r="I36" s="2" t="b">
        <f t="shared" si="1"/>
        <v>1</v>
      </c>
    </row>
    <row r="37">
      <c r="A37" s="1" t="s">
        <v>17</v>
      </c>
      <c r="B37" s="1" t="s">
        <v>7</v>
      </c>
      <c r="I37" s="2" t="b">
        <f t="shared" si="1"/>
        <v>1</v>
      </c>
    </row>
    <row r="38">
      <c r="A38" s="1" t="s">
        <v>35</v>
      </c>
      <c r="B38" s="1" t="s">
        <v>7</v>
      </c>
      <c r="I38" s="2" t="b">
        <f t="shared" si="1"/>
        <v>1</v>
      </c>
    </row>
    <row r="39">
      <c r="A39" s="1" t="s">
        <v>35</v>
      </c>
      <c r="B39" s="1" t="s">
        <v>7</v>
      </c>
      <c r="I39" s="2" t="b">
        <f t="shared" si="1"/>
        <v>1</v>
      </c>
    </row>
    <row r="40">
      <c r="A40" s="1" t="s">
        <v>35</v>
      </c>
      <c r="B40" s="1" t="s">
        <v>7</v>
      </c>
      <c r="I40" s="2" t="b">
        <f t="shared" si="1"/>
        <v>1</v>
      </c>
    </row>
    <row r="41">
      <c r="A41" s="1" t="s">
        <v>35</v>
      </c>
      <c r="B41" s="1" t="s">
        <v>7</v>
      </c>
      <c r="I41" s="2" t="b">
        <f t="shared" si="1"/>
        <v>1</v>
      </c>
    </row>
    <row r="42">
      <c r="A42" s="1" t="s">
        <v>52</v>
      </c>
      <c r="B42" s="1" t="s">
        <v>7</v>
      </c>
      <c r="I42" s="2" t="b">
        <f t="shared" si="1"/>
        <v>1</v>
      </c>
    </row>
    <row r="43">
      <c r="A43" s="1" t="s">
        <v>52</v>
      </c>
      <c r="B43" s="1" t="s">
        <v>7</v>
      </c>
      <c r="I43" s="2" t="b">
        <f t="shared" si="1"/>
        <v>1</v>
      </c>
    </row>
    <row r="44">
      <c r="A44" s="1" t="s">
        <v>52</v>
      </c>
      <c r="B44" s="1" t="s">
        <v>7</v>
      </c>
      <c r="I44" s="2" t="b">
        <f t="shared" si="1"/>
        <v>1</v>
      </c>
    </row>
    <row r="45">
      <c r="A45" s="1" t="s">
        <v>52</v>
      </c>
      <c r="B45" s="1" t="s">
        <v>7</v>
      </c>
      <c r="I45" s="2" t="b">
        <f t="shared" si="1"/>
        <v>1</v>
      </c>
    </row>
    <row r="46">
      <c r="A46" s="1" t="s">
        <v>69</v>
      </c>
      <c r="B46" s="1" t="s">
        <v>7</v>
      </c>
      <c r="I46" s="2" t="b">
        <f t="shared" si="1"/>
        <v>1</v>
      </c>
    </row>
    <row r="47">
      <c r="A47" s="1" t="s">
        <v>69</v>
      </c>
      <c r="B47" s="1" t="s">
        <v>7</v>
      </c>
      <c r="I47" s="2" t="b">
        <f t="shared" si="1"/>
        <v>1</v>
      </c>
    </row>
    <row r="48">
      <c r="A48" s="1" t="s">
        <v>69</v>
      </c>
      <c r="B48" s="1" t="s">
        <v>7</v>
      </c>
      <c r="I48" s="2" t="b">
        <f t="shared" si="1"/>
        <v>1</v>
      </c>
    </row>
    <row r="49">
      <c r="A49" s="1" t="s">
        <v>69</v>
      </c>
      <c r="B49" s="1" t="s">
        <v>7</v>
      </c>
      <c r="I49" s="2" t="b">
        <f t="shared" si="1"/>
        <v>1</v>
      </c>
    </row>
    <row r="50">
      <c r="A50" s="1" t="s">
        <v>17</v>
      </c>
      <c r="B50" s="1" t="s">
        <v>6</v>
      </c>
      <c r="I50" s="2" t="b">
        <f t="shared" si="1"/>
        <v>1</v>
      </c>
    </row>
    <row r="51">
      <c r="A51" s="1" t="s">
        <v>17</v>
      </c>
      <c r="B51" s="1" t="s">
        <v>6</v>
      </c>
      <c r="I51" s="2" t="b">
        <f t="shared" si="1"/>
        <v>1</v>
      </c>
    </row>
    <row r="52">
      <c r="A52" s="1" t="s">
        <v>35</v>
      </c>
      <c r="B52" s="1" t="s">
        <v>6</v>
      </c>
      <c r="I52" s="2" t="b">
        <f t="shared" si="1"/>
        <v>1</v>
      </c>
    </row>
    <row r="53">
      <c r="A53" s="1" t="s">
        <v>35</v>
      </c>
      <c r="B53" s="1" t="s">
        <v>6</v>
      </c>
      <c r="I53" s="2" t="b">
        <f t="shared" si="1"/>
        <v>1</v>
      </c>
    </row>
    <row r="54">
      <c r="A54" s="1" t="s">
        <v>52</v>
      </c>
      <c r="B54" s="1" t="s">
        <v>6</v>
      </c>
      <c r="I54" s="2" t="b">
        <f t="shared" si="1"/>
        <v>1</v>
      </c>
    </row>
    <row r="55">
      <c r="A55" s="1" t="s">
        <v>52</v>
      </c>
      <c r="B55" s="1" t="s">
        <v>6</v>
      </c>
      <c r="I55" s="2" t="b">
        <f t="shared" si="1"/>
        <v>1</v>
      </c>
    </row>
    <row r="56">
      <c r="A56" s="1" t="s">
        <v>69</v>
      </c>
      <c r="B56" s="1" t="s">
        <v>6</v>
      </c>
      <c r="I56" s="2" t="b">
        <f t="shared" si="1"/>
        <v>1</v>
      </c>
    </row>
    <row r="57">
      <c r="A57" s="1" t="s">
        <v>69</v>
      </c>
      <c r="B57" s="1" t="s">
        <v>6</v>
      </c>
      <c r="I57" s="2" t="b">
        <f t="shared" si="1"/>
        <v>1</v>
      </c>
    </row>
    <row r="58">
      <c r="A58" s="1" t="s">
        <v>17</v>
      </c>
      <c r="B58" s="1" t="s">
        <v>5</v>
      </c>
      <c r="I58" s="2" t="b">
        <f t="shared" si="1"/>
        <v>1</v>
      </c>
    </row>
    <row r="59">
      <c r="A59" s="1" t="s">
        <v>35</v>
      </c>
      <c r="B59" s="1" t="s">
        <v>5</v>
      </c>
      <c r="I59" s="2" t="b">
        <f t="shared" si="1"/>
        <v>1</v>
      </c>
    </row>
    <row r="60">
      <c r="A60" s="1" t="s">
        <v>52</v>
      </c>
      <c r="B60" s="1" t="s">
        <v>5</v>
      </c>
      <c r="I60" s="2" t="b">
        <f t="shared" si="1"/>
        <v>1</v>
      </c>
    </row>
    <row r="61">
      <c r="A61" s="1" t="s">
        <v>69</v>
      </c>
      <c r="B61" s="1" t="s">
        <v>5</v>
      </c>
      <c r="I61" s="2" t="b">
        <f t="shared" si="1"/>
        <v>1</v>
      </c>
    </row>
    <row r="62">
      <c r="A62" s="1" t="s">
        <v>4</v>
      </c>
      <c r="B62" s="1" t="s">
        <v>4</v>
      </c>
      <c r="I62" s="2" t="b">
        <f t="shared" si="1"/>
        <v>1</v>
      </c>
    </row>
    <row r="63">
      <c r="A63" s="1" t="s">
        <v>4</v>
      </c>
      <c r="B63" s="1" t="s">
        <v>4</v>
      </c>
      <c r="I63" s="2" t="b">
        <f t="shared" si="1"/>
        <v>1</v>
      </c>
    </row>
    <row r="64">
      <c r="A64" s="1" t="s">
        <v>4</v>
      </c>
      <c r="B64" s="1" t="s">
        <v>3</v>
      </c>
      <c r="I64" s="2" t="b">
        <f t="shared" si="1"/>
        <v>1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11.75"/>
    <col customWidth="1" min="3" max="3" width="8.88"/>
    <col customWidth="1" min="4" max="4" width="9.0"/>
    <col customWidth="1" min="5" max="5" width="8.5"/>
    <col customWidth="1" min="6" max="6" width="8.63"/>
    <col customWidth="1" min="7" max="7" width="6.25"/>
    <col customWidth="1" min="8" max="8" width="10.75"/>
    <col customWidth="1" min="9" max="9" width="6.5"/>
    <col customWidth="1" min="11" max="11" width="11.75"/>
    <col customWidth="1" min="12" max="12" width="6.5"/>
    <col customWidth="1" min="13" max="13" width="5.63"/>
  </cols>
  <sheetData>
    <row r="1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K1" s="1" t="s">
        <v>9</v>
      </c>
      <c r="L1" s="1" t="s">
        <v>16</v>
      </c>
      <c r="M1" s="1" t="s">
        <v>1</v>
      </c>
    </row>
    <row r="2">
      <c r="A2" s="1" t="s">
        <v>17</v>
      </c>
      <c r="B2" s="1" t="s">
        <v>18</v>
      </c>
      <c r="C2" s="3">
        <v>1.0</v>
      </c>
      <c r="D2" s="4" t="s">
        <v>48</v>
      </c>
      <c r="E2" s="3">
        <v>16.0</v>
      </c>
      <c r="F2" s="4" t="s">
        <v>223</v>
      </c>
      <c r="G2" s="4" t="s">
        <v>48</v>
      </c>
      <c r="I2" s="2" t="b">
        <f t="shared" ref="I2:I64" si="1">G2=H2</f>
        <v>0</v>
      </c>
      <c r="K2" s="1" t="s">
        <v>18</v>
      </c>
      <c r="M2" s="2">
        <f>1*L2</f>
        <v>0</v>
      </c>
    </row>
    <row r="3">
      <c r="A3" s="1" t="s">
        <v>17</v>
      </c>
      <c r="B3" s="1" t="s">
        <v>18</v>
      </c>
      <c r="C3" s="3">
        <v>2.0</v>
      </c>
      <c r="D3" s="4" t="s">
        <v>160</v>
      </c>
      <c r="E3" s="3">
        <v>15.0</v>
      </c>
      <c r="F3" s="4" t="s">
        <v>145</v>
      </c>
      <c r="G3" s="4" t="s">
        <v>160</v>
      </c>
      <c r="I3" s="2" t="b">
        <f t="shared" si="1"/>
        <v>0</v>
      </c>
      <c r="K3" s="1" t="s">
        <v>7</v>
      </c>
      <c r="M3" s="2">
        <f>2*L3</f>
        <v>0</v>
      </c>
    </row>
    <row r="4">
      <c r="A4" s="1" t="s">
        <v>17</v>
      </c>
      <c r="B4" s="1" t="s">
        <v>18</v>
      </c>
      <c r="C4" s="3">
        <v>3.0</v>
      </c>
      <c r="D4" s="4" t="s">
        <v>208</v>
      </c>
      <c r="E4" s="3">
        <v>14.0</v>
      </c>
      <c r="F4" s="4" t="s">
        <v>197</v>
      </c>
      <c r="G4" s="4" t="s">
        <v>208</v>
      </c>
      <c r="I4" s="2" t="b">
        <f t="shared" si="1"/>
        <v>0</v>
      </c>
      <c r="K4" s="1" t="s">
        <v>6</v>
      </c>
      <c r="M4" s="2">
        <f>4*L4</f>
        <v>0</v>
      </c>
    </row>
    <row r="5">
      <c r="A5" s="1" t="s">
        <v>17</v>
      </c>
      <c r="B5" s="1" t="s">
        <v>18</v>
      </c>
      <c r="C5" s="3">
        <v>4.0</v>
      </c>
      <c r="D5" s="4" t="s">
        <v>224</v>
      </c>
      <c r="E5" s="3">
        <v>13.0</v>
      </c>
      <c r="F5" s="4" t="s">
        <v>225</v>
      </c>
      <c r="G5" s="4" t="s">
        <v>225</v>
      </c>
      <c r="I5" s="2" t="b">
        <f t="shared" si="1"/>
        <v>0</v>
      </c>
      <c r="K5" s="1" t="s">
        <v>5</v>
      </c>
      <c r="M5" s="2">
        <f>8*L5</f>
        <v>0</v>
      </c>
    </row>
    <row r="6">
      <c r="A6" s="1" t="s">
        <v>17</v>
      </c>
      <c r="B6" s="1" t="s">
        <v>18</v>
      </c>
      <c r="C6" s="3">
        <v>5.0</v>
      </c>
      <c r="D6" s="4" t="s">
        <v>42</v>
      </c>
      <c r="E6" s="3">
        <v>12.0</v>
      </c>
      <c r="F6" s="4" t="s">
        <v>90</v>
      </c>
      <c r="G6" s="4" t="s">
        <v>42</v>
      </c>
      <c r="I6" s="2" t="b">
        <f t="shared" si="1"/>
        <v>0</v>
      </c>
      <c r="K6" s="1" t="s">
        <v>4</v>
      </c>
      <c r="M6" s="2">
        <f>16*L6</f>
        <v>0</v>
      </c>
    </row>
    <row r="7">
      <c r="A7" s="1" t="s">
        <v>17</v>
      </c>
      <c r="B7" s="1" t="s">
        <v>18</v>
      </c>
      <c r="C7" s="3">
        <v>6.0</v>
      </c>
      <c r="D7" s="4" t="s">
        <v>59</v>
      </c>
      <c r="E7" s="3">
        <v>11.0</v>
      </c>
      <c r="F7" s="4" t="s">
        <v>222</v>
      </c>
      <c r="G7" s="4" t="s">
        <v>222</v>
      </c>
      <c r="I7" s="2" t="b">
        <f t="shared" si="1"/>
        <v>0</v>
      </c>
      <c r="K7" s="1" t="s">
        <v>3</v>
      </c>
      <c r="M7" s="2">
        <f>32*L7</f>
        <v>0</v>
      </c>
    </row>
    <row r="8">
      <c r="A8" s="1" t="s">
        <v>17</v>
      </c>
      <c r="B8" s="1" t="s">
        <v>18</v>
      </c>
      <c r="C8" s="3">
        <v>7.0</v>
      </c>
      <c r="D8" s="4" t="s">
        <v>143</v>
      </c>
      <c r="E8" s="3">
        <v>10.0</v>
      </c>
      <c r="F8" s="4" t="s">
        <v>226</v>
      </c>
      <c r="G8" s="4" t="s">
        <v>143</v>
      </c>
      <c r="I8" s="2" t="b">
        <f t="shared" si="1"/>
        <v>0</v>
      </c>
      <c r="L8" s="2">
        <f t="shared" ref="L8:M8" si="2">SUM(L2:L7)</f>
        <v>0</v>
      </c>
      <c r="M8" s="2">
        <f t="shared" si="2"/>
        <v>0</v>
      </c>
    </row>
    <row r="9">
      <c r="A9" s="1" t="s">
        <v>17</v>
      </c>
      <c r="B9" s="1" t="s">
        <v>18</v>
      </c>
      <c r="C9" s="3">
        <v>8.0</v>
      </c>
      <c r="D9" s="4" t="s">
        <v>110</v>
      </c>
      <c r="E9" s="3">
        <v>9.0</v>
      </c>
      <c r="F9" s="4" t="s">
        <v>50</v>
      </c>
      <c r="G9" s="4" t="s">
        <v>50</v>
      </c>
      <c r="I9" s="2" t="b">
        <f t="shared" si="1"/>
        <v>0</v>
      </c>
    </row>
    <row r="10">
      <c r="A10" s="1" t="s">
        <v>35</v>
      </c>
      <c r="B10" s="1" t="s">
        <v>18</v>
      </c>
      <c r="C10" s="3">
        <v>1.0</v>
      </c>
      <c r="D10" s="4" t="s">
        <v>61</v>
      </c>
      <c r="E10" s="3">
        <v>16.0</v>
      </c>
      <c r="F10" s="4" t="s">
        <v>227</v>
      </c>
      <c r="G10" s="4" t="s">
        <v>61</v>
      </c>
      <c r="I10" s="2" t="b">
        <f t="shared" si="1"/>
        <v>0</v>
      </c>
    </row>
    <row r="11">
      <c r="A11" s="1" t="s">
        <v>35</v>
      </c>
      <c r="B11" s="1" t="s">
        <v>18</v>
      </c>
      <c r="C11" s="3">
        <v>2.0</v>
      </c>
      <c r="D11" s="4" t="s">
        <v>51</v>
      </c>
      <c r="E11" s="3">
        <v>15.0</v>
      </c>
      <c r="F11" s="4" t="s">
        <v>228</v>
      </c>
      <c r="G11" s="4" t="s">
        <v>51</v>
      </c>
      <c r="I11" s="2" t="b">
        <f t="shared" si="1"/>
        <v>0</v>
      </c>
    </row>
    <row r="12">
      <c r="A12" s="1" t="s">
        <v>35</v>
      </c>
      <c r="B12" s="1" t="s">
        <v>18</v>
      </c>
      <c r="C12" s="3">
        <v>3.0</v>
      </c>
      <c r="D12" s="4" t="s">
        <v>207</v>
      </c>
      <c r="E12" s="3">
        <v>14.0</v>
      </c>
      <c r="F12" s="4" t="s">
        <v>64</v>
      </c>
      <c r="G12" s="4" t="s">
        <v>207</v>
      </c>
      <c r="I12" s="2" t="b">
        <f t="shared" si="1"/>
        <v>0</v>
      </c>
    </row>
    <row r="13">
      <c r="A13" s="1" t="s">
        <v>35</v>
      </c>
      <c r="B13" s="1" t="s">
        <v>18</v>
      </c>
      <c r="C13" s="3">
        <v>4.0</v>
      </c>
      <c r="D13" s="4" t="s">
        <v>53</v>
      </c>
      <c r="E13" s="3">
        <v>13.0</v>
      </c>
      <c r="F13" s="4" t="s">
        <v>41</v>
      </c>
      <c r="G13" s="4" t="s">
        <v>53</v>
      </c>
      <c r="I13" s="2" t="b">
        <f t="shared" si="1"/>
        <v>0</v>
      </c>
    </row>
    <row r="14">
      <c r="A14" s="1" t="s">
        <v>35</v>
      </c>
      <c r="B14" s="1" t="s">
        <v>18</v>
      </c>
      <c r="C14" s="3">
        <v>5.0</v>
      </c>
      <c r="D14" s="4" t="s">
        <v>68</v>
      </c>
      <c r="E14" s="3">
        <v>12.0</v>
      </c>
      <c r="F14" s="4" t="s">
        <v>26</v>
      </c>
      <c r="G14" s="4" t="s">
        <v>68</v>
      </c>
      <c r="I14" s="2" t="b">
        <f t="shared" si="1"/>
        <v>0</v>
      </c>
    </row>
    <row r="15">
      <c r="A15" s="1" t="s">
        <v>35</v>
      </c>
      <c r="B15" s="1" t="s">
        <v>18</v>
      </c>
      <c r="C15" s="3">
        <v>6.0</v>
      </c>
      <c r="D15" s="4" t="s">
        <v>116</v>
      </c>
      <c r="E15" s="3">
        <v>11.0</v>
      </c>
      <c r="F15" s="4" t="s">
        <v>102</v>
      </c>
      <c r="G15" s="4" t="s">
        <v>116</v>
      </c>
      <c r="I15" s="2" t="b">
        <f t="shared" si="1"/>
        <v>0</v>
      </c>
    </row>
    <row r="16">
      <c r="A16" s="1" t="s">
        <v>35</v>
      </c>
      <c r="B16" s="1" t="s">
        <v>18</v>
      </c>
      <c r="C16" s="3">
        <v>7.0</v>
      </c>
      <c r="D16" s="4" t="s">
        <v>229</v>
      </c>
      <c r="E16" s="3">
        <v>10.0</v>
      </c>
      <c r="F16" s="4" t="s">
        <v>84</v>
      </c>
      <c r="G16" s="4" t="s">
        <v>229</v>
      </c>
      <c r="I16" s="2" t="b">
        <f t="shared" si="1"/>
        <v>0</v>
      </c>
    </row>
    <row r="17">
      <c r="A17" s="1" t="s">
        <v>35</v>
      </c>
      <c r="B17" s="1" t="s">
        <v>18</v>
      </c>
      <c r="C17" s="3">
        <v>8.0</v>
      </c>
      <c r="D17" s="4" t="s">
        <v>230</v>
      </c>
      <c r="E17" s="3">
        <v>9.0</v>
      </c>
      <c r="F17" s="4" t="s">
        <v>201</v>
      </c>
      <c r="G17" s="4" t="s">
        <v>230</v>
      </c>
      <c r="I17" s="2" t="b">
        <f t="shared" si="1"/>
        <v>0</v>
      </c>
    </row>
    <row r="18">
      <c r="A18" s="1" t="s">
        <v>52</v>
      </c>
      <c r="B18" s="1" t="s">
        <v>18</v>
      </c>
      <c r="C18" s="3">
        <v>1.0</v>
      </c>
      <c r="D18" s="4" t="s">
        <v>30</v>
      </c>
      <c r="E18" s="3">
        <v>16.0</v>
      </c>
      <c r="F18" s="4" t="s">
        <v>211</v>
      </c>
      <c r="G18" s="4" t="s">
        <v>30</v>
      </c>
      <c r="I18" s="2" t="b">
        <f t="shared" si="1"/>
        <v>0</v>
      </c>
    </row>
    <row r="19">
      <c r="A19" s="1" t="s">
        <v>52</v>
      </c>
      <c r="B19" s="1" t="s">
        <v>18</v>
      </c>
      <c r="C19" s="3">
        <v>2.0</v>
      </c>
      <c r="D19" s="4" t="s">
        <v>81</v>
      </c>
      <c r="E19" s="3">
        <v>15.0</v>
      </c>
      <c r="F19" s="4" t="s">
        <v>231</v>
      </c>
      <c r="G19" s="4" t="s">
        <v>81</v>
      </c>
      <c r="I19" s="2" t="b">
        <f t="shared" si="1"/>
        <v>0</v>
      </c>
    </row>
    <row r="20">
      <c r="A20" s="1" t="s">
        <v>52</v>
      </c>
      <c r="B20" s="1" t="s">
        <v>18</v>
      </c>
      <c r="C20" s="3">
        <v>3.0</v>
      </c>
      <c r="D20" s="4" t="s">
        <v>127</v>
      </c>
      <c r="E20" s="3">
        <v>14.0</v>
      </c>
      <c r="F20" s="4" t="s">
        <v>232</v>
      </c>
      <c r="G20" s="4" t="s">
        <v>127</v>
      </c>
      <c r="I20" s="2" t="b">
        <f t="shared" si="1"/>
        <v>0</v>
      </c>
    </row>
    <row r="21">
      <c r="A21" s="1" t="s">
        <v>52</v>
      </c>
      <c r="B21" s="1" t="s">
        <v>18</v>
      </c>
      <c r="C21" s="3">
        <v>4.0</v>
      </c>
      <c r="D21" s="4" t="s">
        <v>74</v>
      </c>
      <c r="E21" s="3">
        <v>13.0</v>
      </c>
      <c r="F21" s="4" t="s">
        <v>233</v>
      </c>
      <c r="G21" s="4" t="s">
        <v>74</v>
      </c>
      <c r="I21" s="2" t="b">
        <f t="shared" si="1"/>
        <v>0</v>
      </c>
    </row>
    <row r="22">
      <c r="A22" s="1" t="s">
        <v>52</v>
      </c>
      <c r="B22" s="1" t="s">
        <v>18</v>
      </c>
      <c r="C22" s="3">
        <v>5.0</v>
      </c>
      <c r="D22" s="4" t="s">
        <v>138</v>
      </c>
      <c r="E22" s="3">
        <v>12.0</v>
      </c>
      <c r="F22" s="4" t="s">
        <v>162</v>
      </c>
      <c r="G22" s="4" t="s">
        <v>138</v>
      </c>
      <c r="I22" s="2" t="b">
        <f t="shared" si="1"/>
        <v>0</v>
      </c>
    </row>
    <row r="23">
      <c r="A23" s="1" t="s">
        <v>52</v>
      </c>
      <c r="B23" s="1" t="s">
        <v>18</v>
      </c>
      <c r="C23" s="3">
        <v>6.0</v>
      </c>
      <c r="D23" s="4" t="s">
        <v>153</v>
      </c>
      <c r="E23" s="3">
        <v>11.0</v>
      </c>
      <c r="F23" s="4" t="s">
        <v>27</v>
      </c>
      <c r="G23" s="4" t="s">
        <v>153</v>
      </c>
      <c r="I23" s="2" t="b">
        <f t="shared" si="1"/>
        <v>0</v>
      </c>
    </row>
    <row r="24">
      <c r="A24" s="1" t="s">
        <v>52</v>
      </c>
      <c r="B24" s="1" t="s">
        <v>18</v>
      </c>
      <c r="C24" s="3">
        <v>7.0</v>
      </c>
      <c r="D24" s="4" t="s">
        <v>57</v>
      </c>
      <c r="E24" s="3">
        <v>10.0</v>
      </c>
      <c r="F24" s="4" t="s">
        <v>141</v>
      </c>
      <c r="G24" s="4" t="s">
        <v>57</v>
      </c>
      <c r="I24" s="2" t="b">
        <f t="shared" si="1"/>
        <v>0</v>
      </c>
    </row>
    <row r="25">
      <c r="A25" s="1" t="s">
        <v>52</v>
      </c>
      <c r="B25" s="1" t="s">
        <v>18</v>
      </c>
      <c r="C25" s="3">
        <v>8.0</v>
      </c>
      <c r="D25" s="4" t="s">
        <v>134</v>
      </c>
      <c r="E25" s="3">
        <v>9.0</v>
      </c>
      <c r="F25" s="4" t="s">
        <v>133</v>
      </c>
      <c r="G25" s="4" t="s">
        <v>134</v>
      </c>
      <c r="I25" s="2" t="b">
        <f t="shared" si="1"/>
        <v>0</v>
      </c>
    </row>
    <row r="26">
      <c r="A26" s="1" t="s">
        <v>69</v>
      </c>
      <c r="B26" s="1" t="s">
        <v>18</v>
      </c>
      <c r="C26" s="3">
        <v>1.0</v>
      </c>
      <c r="D26" s="4" t="s">
        <v>125</v>
      </c>
      <c r="E26" s="3">
        <v>16.0</v>
      </c>
      <c r="F26" s="4" t="s">
        <v>234</v>
      </c>
      <c r="G26" s="4" t="s">
        <v>125</v>
      </c>
      <c r="I26" s="2" t="b">
        <f t="shared" si="1"/>
        <v>0</v>
      </c>
    </row>
    <row r="27">
      <c r="A27" s="1" t="s">
        <v>69</v>
      </c>
      <c r="B27" s="1" t="s">
        <v>18</v>
      </c>
      <c r="C27" s="3">
        <v>2.0</v>
      </c>
      <c r="D27" s="4" t="s">
        <v>51</v>
      </c>
      <c r="E27" s="3">
        <v>15.0</v>
      </c>
      <c r="F27" s="4" t="s">
        <v>235</v>
      </c>
      <c r="G27" s="4" t="s">
        <v>51</v>
      </c>
      <c r="I27" s="2" t="b">
        <f t="shared" si="1"/>
        <v>0</v>
      </c>
    </row>
    <row r="28">
      <c r="A28" s="1" t="s">
        <v>69</v>
      </c>
      <c r="B28" s="1" t="s">
        <v>18</v>
      </c>
      <c r="C28" s="3">
        <v>3.0</v>
      </c>
      <c r="D28" s="4" t="s">
        <v>25</v>
      </c>
      <c r="E28" s="3">
        <v>14.0</v>
      </c>
      <c r="F28" s="4" t="s">
        <v>236</v>
      </c>
      <c r="G28" s="4" t="s">
        <v>25</v>
      </c>
      <c r="I28" s="2" t="b">
        <f t="shared" si="1"/>
        <v>0</v>
      </c>
    </row>
    <row r="29">
      <c r="A29" s="1" t="s">
        <v>69</v>
      </c>
      <c r="B29" s="1" t="s">
        <v>18</v>
      </c>
      <c r="C29" s="3">
        <v>4.0</v>
      </c>
      <c r="D29" s="4" t="s">
        <v>23</v>
      </c>
      <c r="E29" s="3">
        <v>13.0</v>
      </c>
      <c r="F29" s="4" t="s">
        <v>146</v>
      </c>
      <c r="G29" s="4" t="s">
        <v>23</v>
      </c>
      <c r="I29" s="2" t="b">
        <f t="shared" si="1"/>
        <v>0</v>
      </c>
    </row>
    <row r="30">
      <c r="A30" s="1" t="s">
        <v>69</v>
      </c>
      <c r="B30" s="1" t="s">
        <v>18</v>
      </c>
      <c r="C30" s="3">
        <v>5.0</v>
      </c>
      <c r="D30" s="4" t="s">
        <v>76</v>
      </c>
      <c r="E30" s="3">
        <v>12.0</v>
      </c>
      <c r="F30" s="4" t="s">
        <v>237</v>
      </c>
      <c r="G30" s="4" t="s">
        <v>76</v>
      </c>
      <c r="I30" s="2" t="b">
        <f t="shared" si="1"/>
        <v>0</v>
      </c>
    </row>
    <row r="31">
      <c r="A31" s="1" t="s">
        <v>69</v>
      </c>
      <c r="B31" s="1" t="s">
        <v>18</v>
      </c>
      <c r="C31" s="3">
        <v>6.0</v>
      </c>
      <c r="D31" s="4" t="s">
        <v>116</v>
      </c>
      <c r="E31" s="3">
        <v>11.0</v>
      </c>
      <c r="F31" s="4" t="s">
        <v>238</v>
      </c>
      <c r="G31" s="4" t="s">
        <v>116</v>
      </c>
      <c r="I31" s="2" t="b">
        <f t="shared" si="1"/>
        <v>0</v>
      </c>
    </row>
    <row r="32">
      <c r="A32" s="1" t="s">
        <v>69</v>
      </c>
      <c r="B32" s="1" t="s">
        <v>18</v>
      </c>
      <c r="C32" s="3">
        <v>7.0</v>
      </c>
      <c r="D32" s="4" t="s">
        <v>229</v>
      </c>
      <c r="E32" s="3">
        <v>10.0</v>
      </c>
      <c r="F32" s="4" t="s">
        <v>64</v>
      </c>
      <c r="G32" s="4" t="s">
        <v>229</v>
      </c>
      <c r="I32" s="2" t="b">
        <f t="shared" si="1"/>
        <v>0</v>
      </c>
    </row>
    <row r="33">
      <c r="A33" s="1" t="s">
        <v>69</v>
      </c>
      <c r="B33" s="1" t="s">
        <v>18</v>
      </c>
      <c r="C33" s="3">
        <v>8.0</v>
      </c>
      <c r="D33" s="4" t="s">
        <v>40</v>
      </c>
      <c r="E33" s="3">
        <v>9.0</v>
      </c>
      <c r="F33" s="4" t="s">
        <v>219</v>
      </c>
      <c r="G33" s="4" t="s">
        <v>219</v>
      </c>
      <c r="I33" s="2" t="b">
        <f t="shared" si="1"/>
        <v>0</v>
      </c>
    </row>
    <row r="34">
      <c r="A34" s="1" t="s">
        <v>17</v>
      </c>
      <c r="B34" s="1" t="s">
        <v>7</v>
      </c>
      <c r="I34" s="2" t="b">
        <f t="shared" si="1"/>
        <v>1</v>
      </c>
    </row>
    <row r="35">
      <c r="A35" s="1" t="s">
        <v>17</v>
      </c>
      <c r="B35" s="1" t="s">
        <v>7</v>
      </c>
      <c r="I35" s="2" t="b">
        <f t="shared" si="1"/>
        <v>1</v>
      </c>
    </row>
    <row r="36">
      <c r="A36" s="1" t="s">
        <v>17</v>
      </c>
      <c r="B36" s="1" t="s">
        <v>7</v>
      </c>
      <c r="I36" s="2" t="b">
        <f t="shared" si="1"/>
        <v>1</v>
      </c>
    </row>
    <row r="37">
      <c r="A37" s="1" t="s">
        <v>17</v>
      </c>
      <c r="B37" s="1" t="s">
        <v>7</v>
      </c>
      <c r="I37" s="2" t="b">
        <f t="shared" si="1"/>
        <v>1</v>
      </c>
    </row>
    <row r="38">
      <c r="A38" s="1" t="s">
        <v>35</v>
      </c>
      <c r="B38" s="1" t="s">
        <v>7</v>
      </c>
      <c r="I38" s="2" t="b">
        <f t="shared" si="1"/>
        <v>1</v>
      </c>
    </row>
    <row r="39">
      <c r="A39" s="1" t="s">
        <v>35</v>
      </c>
      <c r="B39" s="1" t="s">
        <v>7</v>
      </c>
      <c r="I39" s="2" t="b">
        <f t="shared" si="1"/>
        <v>1</v>
      </c>
    </row>
    <row r="40">
      <c r="A40" s="1" t="s">
        <v>35</v>
      </c>
      <c r="B40" s="1" t="s">
        <v>7</v>
      </c>
      <c r="I40" s="2" t="b">
        <f t="shared" si="1"/>
        <v>1</v>
      </c>
    </row>
    <row r="41">
      <c r="A41" s="1" t="s">
        <v>35</v>
      </c>
      <c r="B41" s="1" t="s">
        <v>7</v>
      </c>
      <c r="I41" s="2" t="b">
        <f t="shared" si="1"/>
        <v>1</v>
      </c>
    </row>
    <row r="42">
      <c r="A42" s="1" t="s">
        <v>52</v>
      </c>
      <c r="B42" s="1" t="s">
        <v>7</v>
      </c>
      <c r="I42" s="2" t="b">
        <f t="shared" si="1"/>
        <v>1</v>
      </c>
    </row>
    <row r="43">
      <c r="A43" s="1" t="s">
        <v>52</v>
      </c>
      <c r="B43" s="1" t="s">
        <v>7</v>
      </c>
      <c r="I43" s="2" t="b">
        <f t="shared" si="1"/>
        <v>1</v>
      </c>
    </row>
    <row r="44">
      <c r="A44" s="1" t="s">
        <v>52</v>
      </c>
      <c r="B44" s="1" t="s">
        <v>7</v>
      </c>
      <c r="I44" s="2" t="b">
        <f t="shared" si="1"/>
        <v>1</v>
      </c>
    </row>
    <row r="45">
      <c r="A45" s="1" t="s">
        <v>52</v>
      </c>
      <c r="B45" s="1" t="s">
        <v>7</v>
      </c>
      <c r="I45" s="2" t="b">
        <f t="shared" si="1"/>
        <v>1</v>
      </c>
    </row>
    <row r="46">
      <c r="A46" s="1" t="s">
        <v>69</v>
      </c>
      <c r="B46" s="1" t="s">
        <v>7</v>
      </c>
      <c r="I46" s="2" t="b">
        <f t="shared" si="1"/>
        <v>1</v>
      </c>
    </row>
    <row r="47">
      <c r="A47" s="1" t="s">
        <v>69</v>
      </c>
      <c r="B47" s="1" t="s">
        <v>7</v>
      </c>
      <c r="I47" s="2" t="b">
        <f t="shared" si="1"/>
        <v>1</v>
      </c>
    </row>
    <row r="48">
      <c r="A48" s="1" t="s">
        <v>69</v>
      </c>
      <c r="B48" s="1" t="s">
        <v>7</v>
      </c>
      <c r="I48" s="2" t="b">
        <f t="shared" si="1"/>
        <v>1</v>
      </c>
    </row>
    <row r="49">
      <c r="A49" s="1" t="s">
        <v>69</v>
      </c>
      <c r="B49" s="1" t="s">
        <v>7</v>
      </c>
      <c r="I49" s="2" t="b">
        <f t="shared" si="1"/>
        <v>1</v>
      </c>
    </row>
    <row r="50">
      <c r="A50" s="1" t="s">
        <v>17</v>
      </c>
      <c r="B50" s="1" t="s">
        <v>6</v>
      </c>
      <c r="I50" s="2" t="b">
        <f t="shared" si="1"/>
        <v>1</v>
      </c>
    </row>
    <row r="51">
      <c r="A51" s="1" t="s">
        <v>17</v>
      </c>
      <c r="B51" s="1" t="s">
        <v>6</v>
      </c>
      <c r="I51" s="2" t="b">
        <f t="shared" si="1"/>
        <v>1</v>
      </c>
    </row>
    <row r="52">
      <c r="A52" s="1" t="s">
        <v>35</v>
      </c>
      <c r="B52" s="1" t="s">
        <v>6</v>
      </c>
      <c r="I52" s="2" t="b">
        <f t="shared" si="1"/>
        <v>1</v>
      </c>
    </row>
    <row r="53">
      <c r="A53" s="1" t="s">
        <v>35</v>
      </c>
      <c r="B53" s="1" t="s">
        <v>6</v>
      </c>
      <c r="I53" s="2" t="b">
        <f t="shared" si="1"/>
        <v>1</v>
      </c>
    </row>
    <row r="54">
      <c r="A54" s="1" t="s">
        <v>52</v>
      </c>
      <c r="B54" s="1" t="s">
        <v>6</v>
      </c>
      <c r="I54" s="2" t="b">
        <f t="shared" si="1"/>
        <v>1</v>
      </c>
    </row>
    <row r="55">
      <c r="A55" s="1" t="s">
        <v>52</v>
      </c>
      <c r="B55" s="1" t="s">
        <v>6</v>
      </c>
      <c r="I55" s="2" t="b">
        <f t="shared" si="1"/>
        <v>1</v>
      </c>
    </row>
    <row r="56">
      <c r="A56" s="1" t="s">
        <v>69</v>
      </c>
      <c r="B56" s="1" t="s">
        <v>6</v>
      </c>
      <c r="I56" s="2" t="b">
        <f t="shared" si="1"/>
        <v>1</v>
      </c>
    </row>
    <row r="57">
      <c r="A57" s="1" t="s">
        <v>69</v>
      </c>
      <c r="B57" s="1" t="s">
        <v>6</v>
      </c>
      <c r="I57" s="2" t="b">
        <f t="shared" si="1"/>
        <v>1</v>
      </c>
    </row>
    <row r="58">
      <c r="A58" s="1" t="s">
        <v>17</v>
      </c>
      <c r="B58" s="1" t="s">
        <v>5</v>
      </c>
      <c r="I58" s="2" t="b">
        <f t="shared" si="1"/>
        <v>1</v>
      </c>
    </row>
    <row r="59">
      <c r="A59" s="1" t="s">
        <v>35</v>
      </c>
      <c r="B59" s="1" t="s">
        <v>5</v>
      </c>
      <c r="I59" s="2" t="b">
        <f t="shared" si="1"/>
        <v>1</v>
      </c>
    </row>
    <row r="60">
      <c r="A60" s="1" t="s">
        <v>52</v>
      </c>
      <c r="B60" s="1" t="s">
        <v>5</v>
      </c>
      <c r="I60" s="2" t="b">
        <f t="shared" si="1"/>
        <v>1</v>
      </c>
    </row>
    <row r="61">
      <c r="A61" s="1" t="s">
        <v>69</v>
      </c>
      <c r="B61" s="1" t="s">
        <v>5</v>
      </c>
      <c r="I61" s="2" t="b">
        <f t="shared" si="1"/>
        <v>1</v>
      </c>
    </row>
    <row r="62">
      <c r="A62" s="1" t="s">
        <v>4</v>
      </c>
      <c r="B62" s="1" t="s">
        <v>4</v>
      </c>
      <c r="I62" s="2" t="b">
        <f t="shared" si="1"/>
        <v>1</v>
      </c>
    </row>
    <row r="63">
      <c r="A63" s="1" t="s">
        <v>4</v>
      </c>
      <c r="B63" s="1" t="s">
        <v>4</v>
      </c>
      <c r="I63" s="2" t="b">
        <f t="shared" si="1"/>
        <v>1</v>
      </c>
    </row>
    <row r="64">
      <c r="A64" s="1" t="s">
        <v>4</v>
      </c>
      <c r="B64" s="1" t="s">
        <v>3</v>
      </c>
      <c r="I64" s="2" t="b">
        <f t="shared" si="1"/>
        <v>1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11.75"/>
    <col customWidth="1" min="3" max="3" width="8.88"/>
    <col customWidth="1" min="4" max="4" width="11.75"/>
    <col customWidth="1" min="5" max="5" width="8.5"/>
    <col customWidth="1" min="6" max="6" width="13.38"/>
    <col customWidth="1" min="7" max="7" width="11.75"/>
    <col customWidth="1" min="8" max="8" width="10.75"/>
    <col customWidth="1" min="9" max="9" width="6.5"/>
    <col customWidth="1" min="11" max="11" width="11.75"/>
    <col customWidth="1" min="12" max="12" width="6.5"/>
    <col customWidth="1" min="13" max="13" width="5.63"/>
  </cols>
  <sheetData>
    <row r="1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K1" s="1" t="s">
        <v>9</v>
      </c>
      <c r="L1" s="1" t="s">
        <v>16</v>
      </c>
      <c r="M1" s="1" t="s">
        <v>1</v>
      </c>
    </row>
    <row r="2">
      <c r="A2" s="1" t="s">
        <v>17</v>
      </c>
      <c r="B2" s="1" t="s">
        <v>18</v>
      </c>
      <c r="C2" s="3">
        <v>1.0</v>
      </c>
      <c r="D2" s="4" t="s">
        <v>53</v>
      </c>
      <c r="E2" s="3">
        <v>16.0</v>
      </c>
      <c r="F2" s="4" t="s">
        <v>239</v>
      </c>
      <c r="G2" s="4" t="s">
        <v>53</v>
      </c>
      <c r="I2" s="2" t="b">
        <f t="shared" ref="I2:I64" si="1">G2=H2</f>
        <v>0</v>
      </c>
      <c r="K2" s="1" t="s">
        <v>18</v>
      </c>
      <c r="M2" s="2">
        <f>1*L2</f>
        <v>0</v>
      </c>
    </row>
    <row r="3">
      <c r="A3" s="1" t="s">
        <v>17</v>
      </c>
      <c r="B3" s="1" t="s">
        <v>18</v>
      </c>
      <c r="C3" s="3">
        <v>2.0</v>
      </c>
      <c r="D3" s="4" t="s">
        <v>84</v>
      </c>
      <c r="E3" s="3">
        <v>15.0</v>
      </c>
      <c r="F3" s="4" t="s">
        <v>240</v>
      </c>
      <c r="G3" s="4" t="s">
        <v>84</v>
      </c>
      <c r="I3" s="2" t="b">
        <f t="shared" si="1"/>
        <v>0</v>
      </c>
      <c r="K3" s="1" t="s">
        <v>7</v>
      </c>
      <c r="M3" s="2">
        <f>2*L3</f>
        <v>0</v>
      </c>
    </row>
    <row r="4">
      <c r="A4" s="1" t="s">
        <v>17</v>
      </c>
      <c r="B4" s="1" t="s">
        <v>18</v>
      </c>
      <c r="C4" s="3">
        <v>3.0</v>
      </c>
      <c r="D4" s="4" t="s">
        <v>23</v>
      </c>
      <c r="E4" s="3">
        <v>14.0</v>
      </c>
      <c r="F4" s="4" t="s">
        <v>93</v>
      </c>
      <c r="G4" s="4" t="s">
        <v>23</v>
      </c>
      <c r="I4" s="2" t="b">
        <f t="shared" si="1"/>
        <v>0</v>
      </c>
      <c r="K4" s="1" t="s">
        <v>6</v>
      </c>
      <c r="M4" s="2">
        <f>4*L4</f>
        <v>0</v>
      </c>
    </row>
    <row r="5">
      <c r="A5" s="1" t="s">
        <v>17</v>
      </c>
      <c r="B5" s="1" t="s">
        <v>18</v>
      </c>
      <c r="C5" s="3">
        <v>4.0</v>
      </c>
      <c r="D5" s="4" t="s">
        <v>177</v>
      </c>
      <c r="E5" s="3">
        <v>13.0</v>
      </c>
      <c r="F5" s="4" t="s">
        <v>241</v>
      </c>
      <c r="G5" s="4" t="s">
        <v>177</v>
      </c>
      <c r="I5" s="2" t="b">
        <f t="shared" si="1"/>
        <v>0</v>
      </c>
      <c r="K5" s="1" t="s">
        <v>5</v>
      </c>
      <c r="M5" s="2">
        <f>8*L5</f>
        <v>0</v>
      </c>
    </row>
    <row r="6">
      <c r="A6" s="1" t="s">
        <v>17</v>
      </c>
      <c r="B6" s="1" t="s">
        <v>18</v>
      </c>
      <c r="C6" s="3">
        <v>5.0</v>
      </c>
      <c r="D6" s="4" t="s">
        <v>242</v>
      </c>
      <c r="E6" s="3">
        <v>12.0</v>
      </c>
      <c r="F6" s="4" t="s">
        <v>232</v>
      </c>
      <c r="G6" s="4" t="s">
        <v>242</v>
      </c>
      <c r="I6" s="2" t="b">
        <f t="shared" si="1"/>
        <v>0</v>
      </c>
      <c r="K6" s="1" t="s">
        <v>4</v>
      </c>
      <c r="M6" s="2">
        <f>16*L6</f>
        <v>0</v>
      </c>
    </row>
    <row r="7">
      <c r="A7" s="1" t="s">
        <v>17</v>
      </c>
      <c r="B7" s="1" t="s">
        <v>18</v>
      </c>
      <c r="C7" s="3">
        <v>6.0</v>
      </c>
      <c r="D7" s="4" t="s">
        <v>215</v>
      </c>
      <c r="E7" s="3">
        <v>11.0</v>
      </c>
      <c r="F7" s="4" t="s">
        <v>82</v>
      </c>
      <c r="G7" s="4" t="s">
        <v>82</v>
      </c>
      <c r="I7" s="2" t="b">
        <f t="shared" si="1"/>
        <v>0</v>
      </c>
      <c r="K7" s="1" t="s">
        <v>3</v>
      </c>
      <c r="M7" s="2">
        <f>32*L7</f>
        <v>0</v>
      </c>
    </row>
    <row r="8">
      <c r="A8" s="1" t="s">
        <v>17</v>
      </c>
      <c r="B8" s="1" t="s">
        <v>18</v>
      </c>
      <c r="C8" s="3">
        <v>7.0</v>
      </c>
      <c r="D8" s="4" t="s">
        <v>143</v>
      </c>
      <c r="E8" s="3">
        <v>10.0</v>
      </c>
      <c r="F8" s="4" t="s">
        <v>154</v>
      </c>
      <c r="G8" s="4" t="s">
        <v>143</v>
      </c>
      <c r="I8" s="2" t="b">
        <f t="shared" si="1"/>
        <v>0</v>
      </c>
      <c r="L8" s="2">
        <f t="shared" ref="L8:M8" si="2">SUM(L2:L7)</f>
        <v>0</v>
      </c>
      <c r="M8" s="2">
        <f t="shared" si="2"/>
        <v>0</v>
      </c>
    </row>
    <row r="9">
      <c r="A9" s="1" t="s">
        <v>17</v>
      </c>
      <c r="B9" s="1" t="s">
        <v>18</v>
      </c>
      <c r="C9" s="3">
        <v>8.0</v>
      </c>
      <c r="D9" s="4" t="s">
        <v>92</v>
      </c>
      <c r="E9" s="3">
        <v>9.0</v>
      </c>
      <c r="F9" s="4" t="s">
        <v>38</v>
      </c>
      <c r="G9" s="4" t="s">
        <v>92</v>
      </c>
      <c r="I9" s="2" t="b">
        <f t="shared" si="1"/>
        <v>0</v>
      </c>
    </row>
    <row r="10">
      <c r="A10" s="1" t="s">
        <v>35</v>
      </c>
      <c r="B10" s="1" t="s">
        <v>18</v>
      </c>
      <c r="C10" s="3">
        <v>1.0</v>
      </c>
      <c r="D10" s="4" t="s">
        <v>57</v>
      </c>
      <c r="E10" s="3">
        <v>16.0</v>
      </c>
      <c r="F10" s="4" t="s">
        <v>243</v>
      </c>
      <c r="G10" s="4" t="s">
        <v>57</v>
      </c>
      <c r="I10" s="2" t="b">
        <f t="shared" si="1"/>
        <v>0</v>
      </c>
    </row>
    <row r="11">
      <c r="A11" s="1" t="s">
        <v>35</v>
      </c>
      <c r="B11" s="1" t="s">
        <v>18</v>
      </c>
      <c r="C11" s="3">
        <v>2.0</v>
      </c>
      <c r="D11" s="4" t="s">
        <v>59</v>
      </c>
      <c r="E11" s="3">
        <v>15.0</v>
      </c>
      <c r="F11" s="4" t="s">
        <v>167</v>
      </c>
      <c r="G11" s="4" t="s">
        <v>59</v>
      </c>
      <c r="I11" s="2" t="b">
        <f t="shared" si="1"/>
        <v>0</v>
      </c>
    </row>
    <row r="12">
      <c r="A12" s="1" t="s">
        <v>35</v>
      </c>
      <c r="B12" s="1" t="s">
        <v>18</v>
      </c>
      <c r="C12" s="3">
        <v>3.0</v>
      </c>
      <c r="D12" s="4" t="s">
        <v>68</v>
      </c>
      <c r="E12" s="3">
        <v>14.0</v>
      </c>
      <c r="F12" s="4" t="s">
        <v>244</v>
      </c>
      <c r="G12" s="4" t="s">
        <v>68</v>
      </c>
      <c r="I12" s="2" t="b">
        <f t="shared" si="1"/>
        <v>0</v>
      </c>
    </row>
    <row r="13">
      <c r="A13" s="1" t="s">
        <v>35</v>
      </c>
      <c r="B13" s="1" t="s">
        <v>18</v>
      </c>
      <c r="C13" s="3">
        <v>4.0</v>
      </c>
      <c r="D13" s="4" t="s">
        <v>30</v>
      </c>
      <c r="E13" s="3">
        <v>13.0</v>
      </c>
      <c r="F13" s="4" t="s">
        <v>245</v>
      </c>
      <c r="G13" s="4" t="s">
        <v>30</v>
      </c>
      <c r="I13" s="2" t="b">
        <f t="shared" si="1"/>
        <v>0</v>
      </c>
    </row>
    <row r="14">
      <c r="A14" s="1" t="s">
        <v>35</v>
      </c>
      <c r="B14" s="1" t="s">
        <v>18</v>
      </c>
      <c r="C14" s="3">
        <v>5.0</v>
      </c>
      <c r="D14" s="4" t="s">
        <v>49</v>
      </c>
      <c r="E14" s="3">
        <v>12.0</v>
      </c>
      <c r="F14" s="4" t="s">
        <v>73</v>
      </c>
      <c r="G14" s="4" t="s">
        <v>49</v>
      </c>
      <c r="I14" s="2" t="b">
        <f t="shared" si="1"/>
        <v>0</v>
      </c>
    </row>
    <row r="15">
      <c r="A15" s="1" t="s">
        <v>35</v>
      </c>
      <c r="B15" s="1" t="s">
        <v>18</v>
      </c>
      <c r="C15" s="3">
        <v>6.0</v>
      </c>
      <c r="D15" s="4" t="s">
        <v>81</v>
      </c>
      <c r="E15" s="3">
        <v>11.0</v>
      </c>
      <c r="F15" s="4" t="s">
        <v>29</v>
      </c>
      <c r="G15" s="4" t="s">
        <v>81</v>
      </c>
      <c r="I15" s="2" t="b">
        <f t="shared" si="1"/>
        <v>0</v>
      </c>
    </row>
    <row r="16">
      <c r="A16" s="1" t="s">
        <v>35</v>
      </c>
      <c r="B16" s="1" t="s">
        <v>18</v>
      </c>
      <c r="C16" s="3">
        <v>7.0</v>
      </c>
      <c r="D16" s="4" t="s">
        <v>64</v>
      </c>
      <c r="E16" s="3">
        <v>10.0</v>
      </c>
      <c r="F16" s="4" t="s">
        <v>246</v>
      </c>
      <c r="G16" s="4" t="s">
        <v>64</v>
      </c>
      <c r="I16" s="2" t="b">
        <f t="shared" si="1"/>
        <v>0</v>
      </c>
    </row>
    <row r="17">
      <c r="A17" s="1" t="s">
        <v>35</v>
      </c>
      <c r="B17" s="1" t="s">
        <v>18</v>
      </c>
      <c r="C17" s="3">
        <v>8.0</v>
      </c>
      <c r="D17" s="4" t="s">
        <v>61</v>
      </c>
      <c r="E17" s="3">
        <v>9.0</v>
      </c>
      <c r="F17" s="4" t="s">
        <v>207</v>
      </c>
      <c r="G17" s="4" t="s">
        <v>61</v>
      </c>
      <c r="I17" s="2" t="b">
        <f t="shared" si="1"/>
        <v>0</v>
      </c>
    </row>
    <row r="18">
      <c r="A18" s="1" t="s">
        <v>52</v>
      </c>
      <c r="B18" s="1" t="s">
        <v>18</v>
      </c>
      <c r="C18" s="3">
        <v>1.0</v>
      </c>
      <c r="D18" s="4" t="s">
        <v>160</v>
      </c>
      <c r="E18" s="3">
        <v>16.0</v>
      </c>
      <c r="F18" s="4" t="s">
        <v>247</v>
      </c>
      <c r="G18" s="4" t="s">
        <v>160</v>
      </c>
      <c r="I18" s="2" t="b">
        <f t="shared" si="1"/>
        <v>0</v>
      </c>
    </row>
    <row r="19">
      <c r="A19" s="1" t="s">
        <v>52</v>
      </c>
      <c r="B19" s="1" t="s">
        <v>18</v>
      </c>
      <c r="C19" s="3">
        <v>2.0</v>
      </c>
      <c r="D19" s="4" t="s">
        <v>125</v>
      </c>
      <c r="E19" s="3">
        <v>15.0</v>
      </c>
      <c r="F19" s="4" t="s">
        <v>194</v>
      </c>
      <c r="G19" s="4" t="s">
        <v>125</v>
      </c>
      <c r="I19" s="2" t="b">
        <f t="shared" si="1"/>
        <v>0</v>
      </c>
    </row>
    <row r="20">
      <c r="A20" s="1" t="s">
        <v>52</v>
      </c>
      <c r="B20" s="1" t="s">
        <v>18</v>
      </c>
      <c r="C20" s="3">
        <v>3.0</v>
      </c>
      <c r="D20" s="4" t="s">
        <v>51</v>
      </c>
      <c r="E20" s="3">
        <v>14.0</v>
      </c>
      <c r="F20" s="4" t="s">
        <v>248</v>
      </c>
      <c r="G20" s="4" t="s">
        <v>51</v>
      </c>
      <c r="I20" s="2" t="b">
        <f t="shared" si="1"/>
        <v>0</v>
      </c>
    </row>
    <row r="21">
      <c r="A21" s="1" t="s">
        <v>52</v>
      </c>
      <c r="B21" s="1" t="s">
        <v>18</v>
      </c>
      <c r="C21" s="3">
        <v>4.0</v>
      </c>
      <c r="D21" s="4" t="s">
        <v>33</v>
      </c>
      <c r="E21" s="3">
        <v>13.0</v>
      </c>
      <c r="F21" s="4" t="s">
        <v>200</v>
      </c>
      <c r="G21" s="4" t="s">
        <v>33</v>
      </c>
      <c r="I21" s="2" t="b">
        <f t="shared" si="1"/>
        <v>0</v>
      </c>
    </row>
    <row r="22">
      <c r="A22" s="1" t="s">
        <v>52</v>
      </c>
      <c r="B22" s="1" t="s">
        <v>18</v>
      </c>
      <c r="C22" s="3">
        <v>5.0</v>
      </c>
      <c r="D22" s="4" t="s">
        <v>238</v>
      </c>
      <c r="E22" s="3">
        <v>12.0</v>
      </c>
      <c r="F22" s="4" t="s">
        <v>249</v>
      </c>
      <c r="G22" s="4" t="s">
        <v>238</v>
      </c>
      <c r="I22" s="2" t="b">
        <f t="shared" si="1"/>
        <v>0</v>
      </c>
    </row>
    <row r="23">
      <c r="A23" s="1" t="s">
        <v>52</v>
      </c>
      <c r="B23" s="1" t="s">
        <v>18</v>
      </c>
      <c r="C23" s="3">
        <v>6.0</v>
      </c>
      <c r="D23" s="4" t="s">
        <v>133</v>
      </c>
      <c r="E23" s="3">
        <v>11.0</v>
      </c>
      <c r="F23" s="4" t="s">
        <v>250</v>
      </c>
      <c r="G23" s="4" t="s">
        <v>133</v>
      </c>
      <c r="I23" s="2" t="b">
        <f t="shared" si="1"/>
        <v>0</v>
      </c>
    </row>
    <row r="24">
      <c r="A24" s="1" t="s">
        <v>52</v>
      </c>
      <c r="B24" s="1" t="s">
        <v>18</v>
      </c>
      <c r="C24" s="3">
        <v>7.0</v>
      </c>
      <c r="D24" s="4" t="s">
        <v>21</v>
      </c>
      <c r="E24" s="3">
        <v>10.0</v>
      </c>
      <c r="F24" s="4" t="s">
        <v>85</v>
      </c>
      <c r="G24" s="4" t="s">
        <v>21</v>
      </c>
      <c r="I24" s="2" t="b">
        <f t="shared" si="1"/>
        <v>0</v>
      </c>
    </row>
    <row r="25">
      <c r="A25" s="1" t="s">
        <v>52</v>
      </c>
      <c r="B25" s="1" t="s">
        <v>18</v>
      </c>
      <c r="C25" s="3">
        <v>8.0</v>
      </c>
      <c r="D25" s="4" t="s">
        <v>109</v>
      </c>
      <c r="E25" s="3">
        <v>9.0</v>
      </c>
      <c r="F25" s="4" t="s">
        <v>171</v>
      </c>
      <c r="G25" s="4" t="s">
        <v>109</v>
      </c>
      <c r="I25" s="2" t="b">
        <f t="shared" si="1"/>
        <v>0</v>
      </c>
    </row>
    <row r="26">
      <c r="A26" s="1" t="s">
        <v>69</v>
      </c>
      <c r="B26" s="1" t="s">
        <v>18</v>
      </c>
      <c r="C26" s="3">
        <v>1.0</v>
      </c>
      <c r="D26" s="4" t="s">
        <v>74</v>
      </c>
      <c r="E26" s="3">
        <v>16.0</v>
      </c>
      <c r="F26" s="4" t="s">
        <v>234</v>
      </c>
      <c r="G26" s="4" t="s">
        <v>74</v>
      </c>
      <c r="I26" s="2" t="b">
        <f t="shared" si="1"/>
        <v>0</v>
      </c>
    </row>
    <row r="27">
      <c r="A27" s="1" t="s">
        <v>69</v>
      </c>
      <c r="B27" s="1" t="s">
        <v>18</v>
      </c>
      <c r="C27" s="3">
        <v>2.0</v>
      </c>
      <c r="D27" s="4" t="s">
        <v>48</v>
      </c>
      <c r="E27" s="3">
        <v>15.0</v>
      </c>
      <c r="F27" s="4" t="s">
        <v>213</v>
      </c>
      <c r="G27" s="4" t="s">
        <v>48</v>
      </c>
      <c r="I27" s="2" t="b">
        <f t="shared" si="1"/>
        <v>0</v>
      </c>
    </row>
    <row r="28">
      <c r="A28" s="1" t="s">
        <v>69</v>
      </c>
      <c r="B28" s="1" t="s">
        <v>18</v>
      </c>
      <c r="C28" s="3">
        <v>3.0</v>
      </c>
      <c r="D28" s="4" t="s">
        <v>153</v>
      </c>
      <c r="E28" s="3">
        <v>14.0</v>
      </c>
      <c r="F28" s="4" t="s">
        <v>202</v>
      </c>
      <c r="G28" s="4" t="s">
        <v>153</v>
      </c>
      <c r="I28" s="2" t="b">
        <f t="shared" si="1"/>
        <v>0</v>
      </c>
    </row>
    <row r="29">
      <c r="A29" s="1" t="s">
        <v>69</v>
      </c>
      <c r="B29" s="1" t="s">
        <v>18</v>
      </c>
      <c r="C29" s="3">
        <v>4.0</v>
      </c>
      <c r="D29" s="4" t="s">
        <v>42</v>
      </c>
      <c r="E29" s="3">
        <v>13.0</v>
      </c>
      <c r="F29" s="4" t="s">
        <v>251</v>
      </c>
      <c r="G29" s="4" t="s">
        <v>42</v>
      </c>
      <c r="I29" s="2" t="b">
        <f t="shared" si="1"/>
        <v>0</v>
      </c>
    </row>
    <row r="30">
      <c r="A30" s="1" t="s">
        <v>69</v>
      </c>
      <c r="B30" s="1" t="s">
        <v>18</v>
      </c>
      <c r="C30" s="3">
        <v>5.0</v>
      </c>
      <c r="D30" s="4" t="s">
        <v>127</v>
      </c>
      <c r="E30" s="3">
        <v>12.0</v>
      </c>
      <c r="F30" s="4" t="s">
        <v>197</v>
      </c>
      <c r="G30" s="4" t="s">
        <v>127</v>
      </c>
      <c r="I30" s="2" t="b">
        <f t="shared" si="1"/>
        <v>0</v>
      </c>
    </row>
    <row r="31">
      <c r="A31" s="1" t="s">
        <v>69</v>
      </c>
      <c r="B31" s="1" t="s">
        <v>18</v>
      </c>
      <c r="C31" s="3">
        <v>6.0</v>
      </c>
      <c r="D31" s="4" t="s">
        <v>219</v>
      </c>
      <c r="E31" s="3">
        <v>11.0</v>
      </c>
      <c r="F31" s="4" t="s">
        <v>116</v>
      </c>
      <c r="G31" s="4" t="s">
        <v>219</v>
      </c>
      <c r="I31" s="2" t="b">
        <f t="shared" si="1"/>
        <v>0</v>
      </c>
    </row>
    <row r="32">
      <c r="A32" s="1" t="s">
        <v>69</v>
      </c>
      <c r="B32" s="1" t="s">
        <v>18</v>
      </c>
      <c r="C32" s="3">
        <v>7.0</v>
      </c>
      <c r="D32" s="4" t="s">
        <v>222</v>
      </c>
      <c r="E32" s="3">
        <v>10.0</v>
      </c>
      <c r="F32" s="4" t="s">
        <v>138</v>
      </c>
      <c r="G32" s="4" t="s">
        <v>222</v>
      </c>
      <c r="I32" s="2" t="b">
        <f t="shared" si="1"/>
        <v>0</v>
      </c>
    </row>
    <row r="33">
      <c r="A33" s="1" t="s">
        <v>69</v>
      </c>
      <c r="B33" s="1" t="s">
        <v>18</v>
      </c>
      <c r="C33" s="3">
        <v>8.0</v>
      </c>
      <c r="D33" s="4" t="s">
        <v>201</v>
      </c>
      <c r="E33" s="3">
        <v>9.0</v>
      </c>
      <c r="F33" s="4" t="s">
        <v>76</v>
      </c>
      <c r="G33" s="4" t="s">
        <v>76</v>
      </c>
      <c r="I33" s="2" t="b">
        <f t="shared" si="1"/>
        <v>0</v>
      </c>
    </row>
    <row r="34">
      <c r="A34" s="1" t="s">
        <v>17</v>
      </c>
      <c r="B34" s="1" t="s">
        <v>7</v>
      </c>
      <c r="I34" s="2" t="b">
        <f t="shared" si="1"/>
        <v>1</v>
      </c>
    </row>
    <row r="35">
      <c r="A35" s="1" t="s">
        <v>17</v>
      </c>
      <c r="B35" s="1" t="s">
        <v>7</v>
      </c>
      <c r="I35" s="2" t="b">
        <f t="shared" si="1"/>
        <v>1</v>
      </c>
    </row>
    <row r="36">
      <c r="A36" s="1" t="s">
        <v>17</v>
      </c>
      <c r="B36" s="1" t="s">
        <v>7</v>
      </c>
      <c r="I36" s="2" t="b">
        <f t="shared" si="1"/>
        <v>1</v>
      </c>
    </row>
    <row r="37">
      <c r="A37" s="1" t="s">
        <v>17</v>
      </c>
      <c r="B37" s="1" t="s">
        <v>7</v>
      </c>
      <c r="I37" s="2" t="b">
        <f t="shared" si="1"/>
        <v>1</v>
      </c>
    </row>
    <row r="38">
      <c r="A38" s="1" t="s">
        <v>35</v>
      </c>
      <c r="B38" s="1" t="s">
        <v>7</v>
      </c>
      <c r="I38" s="2" t="b">
        <f t="shared" si="1"/>
        <v>1</v>
      </c>
    </row>
    <row r="39">
      <c r="A39" s="1" t="s">
        <v>35</v>
      </c>
      <c r="B39" s="1" t="s">
        <v>7</v>
      </c>
      <c r="I39" s="2" t="b">
        <f t="shared" si="1"/>
        <v>1</v>
      </c>
    </row>
    <row r="40">
      <c r="A40" s="1" t="s">
        <v>35</v>
      </c>
      <c r="B40" s="1" t="s">
        <v>7</v>
      </c>
      <c r="I40" s="2" t="b">
        <f t="shared" si="1"/>
        <v>1</v>
      </c>
    </row>
    <row r="41">
      <c r="A41" s="1" t="s">
        <v>35</v>
      </c>
      <c r="B41" s="1" t="s">
        <v>7</v>
      </c>
      <c r="I41" s="2" t="b">
        <f t="shared" si="1"/>
        <v>1</v>
      </c>
    </row>
    <row r="42">
      <c r="A42" s="1" t="s">
        <v>52</v>
      </c>
      <c r="B42" s="1" t="s">
        <v>7</v>
      </c>
      <c r="I42" s="2" t="b">
        <f t="shared" si="1"/>
        <v>1</v>
      </c>
    </row>
    <row r="43">
      <c r="A43" s="1" t="s">
        <v>52</v>
      </c>
      <c r="B43" s="1" t="s">
        <v>7</v>
      </c>
      <c r="I43" s="2" t="b">
        <f t="shared" si="1"/>
        <v>1</v>
      </c>
    </row>
    <row r="44">
      <c r="A44" s="1" t="s">
        <v>52</v>
      </c>
      <c r="B44" s="1" t="s">
        <v>7</v>
      </c>
      <c r="I44" s="2" t="b">
        <f t="shared" si="1"/>
        <v>1</v>
      </c>
    </row>
    <row r="45">
      <c r="A45" s="1" t="s">
        <v>52</v>
      </c>
      <c r="B45" s="1" t="s">
        <v>7</v>
      </c>
      <c r="I45" s="2" t="b">
        <f t="shared" si="1"/>
        <v>1</v>
      </c>
    </row>
    <row r="46">
      <c r="A46" s="1" t="s">
        <v>69</v>
      </c>
      <c r="B46" s="1" t="s">
        <v>7</v>
      </c>
      <c r="I46" s="2" t="b">
        <f t="shared" si="1"/>
        <v>1</v>
      </c>
    </row>
    <row r="47">
      <c r="A47" s="1" t="s">
        <v>69</v>
      </c>
      <c r="B47" s="1" t="s">
        <v>7</v>
      </c>
      <c r="I47" s="2" t="b">
        <f t="shared" si="1"/>
        <v>1</v>
      </c>
    </row>
    <row r="48">
      <c r="A48" s="1" t="s">
        <v>69</v>
      </c>
      <c r="B48" s="1" t="s">
        <v>7</v>
      </c>
      <c r="I48" s="2" t="b">
        <f t="shared" si="1"/>
        <v>1</v>
      </c>
    </row>
    <row r="49">
      <c r="A49" s="1" t="s">
        <v>69</v>
      </c>
      <c r="B49" s="1" t="s">
        <v>7</v>
      </c>
      <c r="I49" s="2" t="b">
        <f t="shared" si="1"/>
        <v>1</v>
      </c>
    </row>
    <row r="50">
      <c r="A50" s="1" t="s">
        <v>17</v>
      </c>
      <c r="B50" s="1" t="s">
        <v>6</v>
      </c>
      <c r="I50" s="2" t="b">
        <f t="shared" si="1"/>
        <v>1</v>
      </c>
    </row>
    <row r="51">
      <c r="A51" s="1" t="s">
        <v>17</v>
      </c>
      <c r="B51" s="1" t="s">
        <v>6</v>
      </c>
      <c r="I51" s="2" t="b">
        <f t="shared" si="1"/>
        <v>1</v>
      </c>
    </row>
    <row r="52">
      <c r="A52" s="1" t="s">
        <v>35</v>
      </c>
      <c r="B52" s="1" t="s">
        <v>6</v>
      </c>
      <c r="I52" s="2" t="b">
        <f t="shared" si="1"/>
        <v>1</v>
      </c>
    </row>
    <row r="53">
      <c r="A53" s="1" t="s">
        <v>35</v>
      </c>
      <c r="B53" s="1" t="s">
        <v>6</v>
      </c>
      <c r="I53" s="2" t="b">
        <f t="shared" si="1"/>
        <v>1</v>
      </c>
    </row>
    <row r="54">
      <c r="A54" s="1" t="s">
        <v>52</v>
      </c>
      <c r="B54" s="1" t="s">
        <v>6</v>
      </c>
      <c r="I54" s="2" t="b">
        <f t="shared" si="1"/>
        <v>1</v>
      </c>
    </row>
    <row r="55">
      <c r="A55" s="1" t="s">
        <v>52</v>
      </c>
      <c r="B55" s="1" t="s">
        <v>6</v>
      </c>
      <c r="I55" s="2" t="b">
        <f t="shared" si="1"/>
        <v>1</v>
      </c>
    </row>
    <row r="56">
      <c r="A56" s="1" t="s">
        <v>69</v>
      </c>
      <c r="B56" s="1" t="s">
        <v>6</v>
      </c>
      <c r="I56" s="2" t="b">
        <f t="shared" si="1"/>
        <v>1</v>
      </c>
    </row>
    <row r="57">
      <c r="A57" s="1" t="s">
        <v>69</v>
      </c>
      <c r="B57" s="1" t="s">
        <v>6</v>
      </c>
      <c r="I57" s="2" t="b">
        <f t="shared" si="1"/>
        <v>1</v>
      </c>
    </row>
    <row r="58">
      <c r="A58" s="1" t="s">
        <v>17</v>
      </c>
      <c r="B58" s="1" t="s">
        <v>5</v>
      </c>
      <c r="I58" s="2" t="b">
        <f t="shared" si="1"/>
        <v>1</v>
      </c>
    </row>
    <row r="59">
      <c r="A59" s="1" t="s">
        <v>35</v>
      </c>
      <c r="B59" s="1" t="s">
        <v>5</v>
      </c>
      <c r="I59" s="2" t="b">
        <f t="shared" si="1"/>
        <v>1</v>
      </c>
    </row>
    <row r="60">
      <c r="A60" s="1" t="s">
        <v>52</v>
      </c>
      <c r="B60" s="1" t="s">
        <v>5</v>
      </c>
      <c r="I60" s="2" t="b">
        <f t="shared" si="1"/>
        <v>1</v>
      </c>
    </row>
    <row r="61">
      <c r="A61" s="1" t="s">
        <v>69</v>
      </c>
      <c r="B61" s="1" t="s">
        <v>5</v>
      </c>
      <c r="I61" s="2" t="b">
        <f t="shared" si="1"/>
        <v>1</v>
      </c>
    </row>
    <row r="62">
      <c r="A62" s="1" t="s">
        <v>4</v>
      </c>
      <c r="B62" s="1" t="s">
        <v>4</v>
      </c>
      <c r="I62" s="2" t="b">
        <f t="shared" si="1"/>
        <v>1</v>
      </c>
    </row>
    <row r="63">
      <c r="A63" s="1" t="s">
        <v>4</v>
      </c>
      <c r="B63" s="1" t="s">
        <v>4</v>
      </c>
      <c r="I63" s="2" t="b">
        <f t="shared" si="1"/>
        <v>1</v>
      </c>
    </row>
    <row r="64">
      <c r="A64" s="1" t="s">
        <v>4</v>
      </c>
      <c r="B64" s="1" t="s">
        <v>3</v>
      </c>
      <c r="I64" s="2" t="b">
        <f t="shared" si="1"/>
        <v>1</v>
      </c>
    </row>
  </sheetData>
  <drawing r:id="rId1"/>
</worksheet>
</file>